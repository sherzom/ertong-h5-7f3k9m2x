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00545582/Desktop/新人培训/"/>
    </mc:Choice>
  </mc:AlternateContent>
  <xr:revisionPtr revIDLastSave="0" documentId="13_ncr:1_{7C6DCA53-C4EE-CA46-99B5-5B837FE413C7}" xr6:coauthVersionLast="47" xr6:coauthVersionMax="47" xr10:uidLastSave="{00000000-0000-0000-0000-000000000000}"/>
  <bookViews>
    <workbookView xWindow="2940" yWindow="500" windowWidth="22660" windowHeight="13740" xr2:uid="{00000000-000D-0000-FFFF-FFFF00000000}"/>
  </bookViews>
  <sheets>
    <sheet name="目标设置规则 v2" sheetId="13" r:id="rId1"/>
    <sheet name="目标设置规则" sheetId="1" state="hidden" r:id="rId2"/>
    <sheet name="目标达成率考核" sheetId="15" r:id="rId3"/>
    <sheet name="汰换特批规则-26.7" sheetId="12" r:id="rId4"/>
    <sheet name="无上级营业所最低目标" sheetId="2" state="hidden" r:id="rId5"/>
    <sheet name="Sheet1" sheetId="8" state="hidden" r:id="rId6"/>
    <sheet name="目标测算汇总" sheetId="3" state="hidden" r:id="rId7"/>
    <sheet name="营业所测算" sheetId="4" state="hidden" r:id="rId8"/>
    <sheet name="组别目标-标箱组" sheetId="5" state="hidden" r:id="rId9"/>
    <sheet name="Sheet3" sheetId="6" state="hidden" r:id="rId10"/>
  </sheets>
  <externalReferences>
    <externalReference r:id="rId11"/>
    <externalReference r:id="rId12"/>
    <externalReference r:id="rId13"/>
    <externalReference r:id="rId14"/>
  </externalReferences>
  <definedNames>
    <definedName name="_xlnm._FilterDatabase" localSheetId="6" hidden="1">目标测算汇总!$A$46:$AC$77</definedName>
    <definedName name="_xlnm._FilterDatabase" localSheetId="3" hidden="1">'汰换特批规则-26.7'!$A$5:$U$5</definedName>
    <definedName name="_xlnm._FilterDatabase" localSheetId="8" hidden="1">'组别目标-标箱组'!$A$3:$AC$3</definedName>
    <definedName name="_xlcn.WorksheetConnection_商品分析周会模板2022.1.24.xlsx订单明细1" localSheetId="2" hidden="1">订单明细</definedName>
    <definedName name="_xlcn.WorksheetConnection_商品分析周会模板2022.1.24.xlsx订单明细1" localSheetId="0" hidden="1">订单明细</definedName>
    <definedName name="_xlcn.WorksheetConnection_商品分析周会模板2022.1.24.xlsx订单明细1" localSheetId="3" hidden="1">订单明细</definedName>
    <definedName name="_xlcn.WorksheetConnection_商品分析周会模板2022.1.24.xlsx订单明细1" hidden="1">订单明细</definedName>
    <definedName name="_xleta.SUMIF" hidden="1">#NAME?</definedName>
    <definedName name="_xleta.SUMIFS" hidden="1">#NAME?</definedName>
    <definedName name="_xleta.T" hidden="1">#NAME?</definedName>
    <definedName name="_YF62" localSheetId="3">#REF!</definedName>
    <definedName name="_YF62">#REF!</definedName>
    <definedName name="a" localSheetId="3">#REF!</definedName>
    <definedName name="a">#REF!</definedName>
    <definedName name="aa" localSheetId="3">#REF!</definedName>
    <definedName name="aa">#REF!</definedName>
    <definedName name="ai">#REF!</definedName>
    <definedName name="d">#REF!</definedName>
    <definedName name="fd">#REF!</definedName>
    <definedName name="UFPrn20041029131906" localSheetId="3">#REF!</definedName>
    <definedName name="UFPrn20041029131906">[1]调料!$A$1:$J$144</definedName>
    <definedName name="UFPrn20050216095615">#REF!</definedName>
    <definedName name="UFPrn20050307135853" localSheetId="3">#REF!</definedName>
    <definedName name="UFPrn20050307135853">[2]五金修理!$A$1:$H$28</definedName>
    <definedName name="UFPrn20050405115938" localSheetId="3">#REF!</definedName>
    <definedName name="UFPrn20050405115938">[3]五金修理!$A$1:$H$32</definedName>
    <definedName name="UFPrn20050531234857">#REF!</definedName>
    <definedName name="UFPrn20050604102429" localSheetId="3">#REF!</definedName>
    <definedName name="UFPrn20050604102429">[4]五金修理!$A$1:$H$38</definedName>
    <definedName name="UFPrn20051112111507">#REF!</definedName>
    <definedName name="UFPrn20051115100611">#REF!</definedName>
    <definedName name="UFPrn20051116113943">#REF!</definedName>
    <definedName name="UFPrn20051130140252">#REF!</definedName>
    <definedName name="UFPrn20051130140918">#REF!</definedName>
    <definedName name="UFPrn20051130153829">#REF!</definedName>
    <definedName name="UFPrn20051205152128">#REF!</definedName>
    <definedName name="UFPrn20051206142109">#REF!</definedName>
    <definedName name="UFPrn20051206142133">#REF!</definedName>
    <definedName name="UFPrn20051208163508">#REF!</definedName>
    <definedName name="UFPrn20051208163649">#REF!</definedName>
    <definedName name="UFPrn20051231133804">#REF!</definedName>
    <definedName name="UFPrn20051231133828">#REF!</definedName>
    <definedName name="UFPrn20051231133858">#REF!</definedName>
    <definedName name="UFPrn20051231134621">#REF!</definedName>
    <definedName name="UFPrn20060102184637">#REF!</definedName>
    <definedName name="UFPrn20060102184746">#REF!</definedName>
    <definedName name="UFPrn20060104215017">#REF!</definedName>
    <definedName name="UFPrn20060104221403">#REF!</definedName>
    <definedName name="UFPrn20060105154236">#REF!</definedName>
    <definedName name="UFPrn20060105154306">#REF!</definedName>
    <definedName name="UFPrn20060112094127">#REF!</definedName>
    <definedName name="X">#REF!</definedName>
    <definedName name="啊啊">#REF!</definedName>
    <definedName name="吧">#REF!</definedName>
    <definedName name="橙子葡萄">#REF!</definedName>
    <definedName name="地方">#REF!</definedName>
    <definedName name="额">#REF!</definedName>
    <definedName name="噶4">#REF!</definedName>
    <definedName name="利乐标准">#REF!</definedName>
    <definedName name="米果">#REF!</definedName>
    <definedName name="其他">#REF!</definedName>
    <definedName name="其他1">#REF!</definedName>
    <definedName name="是">#REF!</definedName>
    <definedName name="我">#REF!</definedName>
    <definedName name="线别产值分析">#REF!</definedName>
    <definedName name="新品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8" l="1"/>
  <c r="F6" i="8"/>
  <c r="F7" i="8"/>
  <c r="F8" i="8"/>
  <c r="F9" i="8"/>
  <c r="F4" i="8"/>
  <c r="F10" i="8" s="1"/>
  <c r="C5" i="8"/>
  <c r="C6" i="8"/>
  <c r="C7" i="8"/>
  <c r="C8" i="8"/>
  <c r="C9" i="8"/>
  <c r="C4" i="8"/>
  <c r="C10" i="8" s="1"/>
  <c r="G9" i="8" l="1"/>
  <c r="H9" i="8" s="1"/>
  <c r="G8" i="8"/>
  <c r="H8" i="8" s="1"/>
  <c r="G7" i="8"/>
  <c r="H7" i="8" s="1"/>
  <c r="G4" i="8" l="1"/>
  <c r="G5" i="8"/>
  <c r="H5" i="8" s="1"/>
  <c r="G6" i="8"/>
  <c r="H6" i="8" s="1"/>
  <c r="D7" i="8"/>
  <c r="E7" i="8" s="1"/>
  <c r="D8" i="8"/>
  <c r="E8" i="8" s="1"/>
  <c r="D9" i="8"/>
  <c r="E9" i="8" s="1"/>
  <c r="D4" i="8"/>
  <c r="D5" i="8"/>
  <c r="E5" i="8" s="1"/>
  <c r="D6" i="8"/>
  <c r="E6" i="8" s="1"/>
  <c r="D10" i="8" l="1"/>
  <c r="E10" i="8" s="1"/>
  <c r="E4" i="8"/>
  <c r="H4" i="8"/>
  <c r="G10" i="8"/>
  <c r="H10" i="8" s="1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12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47" i="3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1" i="5"/>
  <c r="P5" i="5"/>
  <c r="P6" i="5"/>
  <c r="P7" i="5"/>
  <c r="P8" i="5"/>
  <c r="P9" i="5"/>
  <c r="P4" i="5"/>
  <c r="J5" i="5"/>
  <c r="J6" i="5"/>
  <c r="J7" i="5"/>
  <c r="J8" i="5"/>
  <c r="J9" i="5"/>
  <c r="J4" i="5"/>
  <c r="E294" i="5"/>
  <c r="A29" i="5"/>
  <c r="A30" i="5"/>
  <c r="A31" i="5"/>
  <c r="A32" i="5"/>
  <c r="A33" i="5"/>
  <c r="A34" i="5"/>
  <c r="A35" i="5"/>
  <c r="A36" i="5"/>
  <c r="A37" i="5"/>
  <c r="A38" i="5"/>
  <c r="A39" i="5"/>
  <c r="A40" i="5"/>
  <c r="A10" i="5"/>
  <c r="A4" i="5"/>
  <c r="F4" i="3" l="1"/>
  <c r="F6" i="3"/>
  <c r="G27" i="3" s="1"/>
  <c r="L27" i="3" s="1"/>
  <c r="F7" i="3"/>
  <c r="F3" i="3"/>
  <c r="F8" i="3"/>
  <c r="F5" i="3"/>
  <c r="F43" i="3"/>
  <c r="M27" i="3" l="1"/>
  <c r="L50" i="3"/>
  <c r="L4" i="3"/>
  <c r="M4" i="3" s="1"/>
  <c r="L5" i="3"/>
  <c r="M5" i="3" s="1"/>
  <c r="L6" i="3"/>
  <c r="M6" i="3" s="1"/>
  <c r="L7" i="3"/>
  <c r="M7" i="3" s="1"/>
  <c r="L8" i="3"/>
  <c r="M8" i="3" s="1"/>
  <c r="L3" i="3"/>
  <c r="M3" i="3" s="1"/>
  <c r="G41" i="3" l="1"/>
  <c r="G14" i="3"/>
  <c r="L9" i="3"/>
  <c r="G31" i="3"/>
  <c r="F76" i="3"/>
  <c r="G20" i="3" l="1"/>
  <c r="F9" i="3"/>
  <c r="L55" i="3"/>
  <c r="G26" i="3"/>
  <c r="L26" i="3" s="1"/>
  <c r="L54" i="3"/>
  <c r="L53" i="3"/>
  <c r="G25" i="3"/>
  <c r="L25" i="3" s="1"/>
  <c r="M25" i="3" s="1"/>
  <c r="L52" i="3"/>
  <c r="L51" i="3"/>
  <c r="L20" i="3"/>
  <c r="M20" i="3" s="1"/>
  <c r="L41" i="3"/>
  <c r="M41" i="3" s="1"/>
  <c r="L31" i="3"/>
  <c r="M31" i="3" s="1"/>
  <c r="L14" i="3"/>
  <c r="M14" i="3" s="1"/>
  <c r="G21" i="3"/>
  <c r="G40" i="3"/>
  <c r="G19" i="3"/>
  <c r="G17" i="3"/>
  <c r="L17" i="3" s="1"/>
  <c r="L48" i="3" s="1"/>
  <c r="G15" i="3"/>
  <c r="G35" i="3"/>
  <c r="L35" i="3" s="1"/>
  <c r="L73" i="3" s="1"/>
  <c r="G18" i="3"/>
  <c r="G33" i="3"/>
  <c r="L33" i="3" s="1"/>
  <c r="L75" i="3" s="1"/>
  <c r="G42" i="3"/>
  <c r="G13" i="3"/>
  <c r="L13" i="3" s="1"/>
  <c r="L47" i="3" s="1"/>
  <c r="G29" i="3"/>
  <c r="L29" i="3" s="1"/>
  <c r="L69" i="3" s="1"/>
  <c r="G12" i="3"/>
  <c r="G37" i="3"/>
  <c r="G24" i="3"/>
  <c r="L24" i="3" s="1"/>
  <c r="L56" i="3" s="1"/>
  <c r="G32" i="3"/>
  <c r="G28" i="3"/>
  <c r="G36" i="3"/>
  <c r="G22" i="3"/>
  <c r="L22" i="3" s="1"/>
  <c r="L65" i="3" s="1"/>
  <c r="G30" i="3"/>
  <c r="L30" i="3" s="1"/>
  <c r="L72" i="3" s="1"/>
  <c r="G38" i="3"/>
  <c r="G23" i="3"/>
  <c r="G16" i="3"/>
  <c r="G39" i="3"/>
  <c r="G34" i="3"/>
  <c r="L34" i="3" s="1"/>
  <c r="L74" i="3" s="1"/>
  <c r="L61" i="3" l="1"/>
  <c r="L60" i="3"/>
  <c r="L63" i="3"/>
  <c r="L58" i="3"/>
  <c r="L57" i="3"/>
  <c r="L70" i="3"/>
  <c r="L49" i="3"/>
  <c r="L71" i="3"/>
  <c r="L67" i="3"/>
  <c r="L66" i="3"/>
  <c r="L68" i="3"/>
  <c r="L59" i="3"/>
  <c r="L62" i="3"/>
  <c r="L64" i="3"/>
  <c r="L15" i="3"/>
  <c r="M15" i="3" s="1"/>
  <c r="L37" i="3"/>
  <c r="M37" i="3" s="1"/>
  <c r="L19" i="3"/>
  <c r="M19" i="3" s="1"/>
  <c r="L39" i="3"/>
  <c r="M39" i="3" s="1"/>
  <c r="L36" i="3"/>
  <c r="M36" i="3" s="1"/>
  <c r="L42" i="3"/>
  <c r="M42" i="3" s="1"/>
  <c r="L40" i="3"/>
  <c r="M40" i="3" s="1"/>
  <c r="L21" i="3"/>
  <c r="M21" i="3" s="1"/>
  <c r="L38" i="3"/>
  <c r="M38" i="3" s="1"/>
  <c r="L12" i="3"/>
  <c r="L32" i="3"/>
  <c r="M32" i="3" s="1"/>
  <c r="L16" i="3"/>
  <c r="M16" i="3" s="1"/>
  <c r="L28" i="3"/>
  <c r="M28" i="3" s="1"/>
  <c r="L23" i="3"/>
  <c r="M23" i="3" s="1"/>
  <c r="L18" i="3"/>
  <c r="M18" i="3" s="1"/>
  <c r="M24" i="3"/>
  <c r="M35" i="3"/>
  <c r="M30" i="3"/>
  <c r="M29" i="3"/>
  <c r="M17" i="3"/>
  <c r="M34" i="3"/>
  <c r="M22" i="3"/>
  <c r="M13" i="3"/>
  <c r="M33" i="3"/>
  <c r="M26" i="3"/>
  <c r="G9" i="3"/>
  <c r="G4" i="3"/>
  <c r="G7" i="3"/>
  <c r="G43" i="3"/>
  <c r="G8" i="3"/>
  <c r="G6" i="3"/>
  <c r="G3" i="3"/>
  <c r="G5" i="3"/>
  <c r="L76" i="3" l="1"/>
  <c r="L43" i="3"/>
  <c r="M12" i="3"/>
  <c r="K456" i="5"/>
  <c r="E456" i="5"/>
  <c r="A456" i="5" s="1"/>
  <c r="B456" i="5"/>
  <c r="K455" i="5"/>
  <c r="E455" i="5"/>
  <c r="A455" i="5" s="1"/>
  <c r="B455" i="5"/>
  <c r="K454" i="5"/>
  <c r="E454" i="5"/>
  <c r="A454" i="5" s="1"/>
  <c r="B454" i="5"/>
  <c r="K453" i="5"/>
  <c r="E453" i="5"/>
  <c r="A453" i="5" s="1"/>
  <c r="B453" i="5"/>
  <c r="K452" i="5"/>
  <c r="E452" i="5"/>
  <c r="A452" i="5" s="1"/>
  <c r="B452" i="5"/>
  <c r="K451" i="5"/>
  <c r="E451" i="5"/>
  <c r="A451" i="5" s="1"/>
  <c r="B451" i="5"/>
  <c r="K450" i="5"/>
  <c r="E450" i="5"/>
  <c r="A450" i="5" s="1"/>
  <c r="B450" i="5"/>
  <c r="K449" i="5"/>
  <c r="E449" i="5"/>
  <c r="A449" i="5" s="1"/>
  <c r="B449" i="5"/>
  <c r="K448" i="5"/>
  <c r="E448" i="5"/>
  <c r="A448" i="5" s="1"/>
  <c r="B448" i="5"/>
  <c r="K447" i="5"/>
  <c r="E447" i="5"/>
  <c r="A447" i="5" s="1"/>
  <c r="B447" i="5"/>
  <c r="K446" i="5"/>
  <c r="E446" i="5"/>
  <c r="A446" i="5" s="1"/>
  <c r="B446" i="5"/>
  <c r="K445" i="5"/>
  <c r="E445" i="5"/>
  <c r="A445" i="5" s="1"/>
  <c r="B445" i="5"/>
  <c r="K444" i="5"/>
  <c r="E444" i="5"/>
  <c r="A444" i="5" s="1"/>
  <c r="B444" i="5"/>
  <c r="K443" i="5"/>
  <c r="E443" i="5"/>
  <c r="A443" i="5" s="1"/>
  <c r="B443" i="5"/>
  <c r="K442" i="5"/>
  <c r="E442" i="5"/>
  <c r="A442" i="5" s="1"/>
  <c r="B442" i="5"/>
  <c r="K441" i="5"/>
  <c r="E441" i="5"/>
  <c r="A441" i="5" s="1"/>
  <c r="B441" i="5"/>
  <c r="K440" i="5"/>
  <c r="E440" i="5"/>
  <c r="A440" i="5" s="1"/>
  <c r="B440" i="5"/>
  <c r="K439" i="5"/>
  <c r="E439" i="5"/>
  <c r="A439" i="5" s="1"/>
  <c r="B439" i="5"/>
  <c r="K438" i="5"/>
  <c r="E438" i="5"/>
  <c r="A438" i="5" s="1"/>
  <c r="B438" i="5"/>
  <c r="K437" i="5"/>
  <c r="E437" i="5"/>
  <c r="A437" i="5" s="1"/>
  <c r="B437" i="5"/>
  <c r="K436" i="5"/>
  <c r="E436" i="5"/>
  <c r="A436" i="5" s="1"/>
  <c r="B436" i="5"/>
  <c r="K435" i="5"/>
  <c r="E435" i="5"/>
  <c r="A435" i="5" s="1"/>
  <c r="B435" i="5"/>
  <c r="K434" i="5"/>
  <c r="E434" i="5"/>
  <c r="A434" i="5" s="1"/>
  <c r="B434" i="5"/>
  <c r="K433" i="5"/>
  <c r="E433" i="5"/>
  <c r="A433" i="5" s="1"/>
  <c r="B433" i="5"/>
  <c r="K432" i="5"/>
  <c r="E432" i="5"/>
  <c r="A432" i="5" s="1"/>
  <c r="B432" i="5"/>
  <c r="K431" i="5"/>
  <c r="E431" i="5"/>
  <c r="A431" i="5" s="1"/>
  <c r="B431" i="5"/>
  <c r="K430" i="5"/>
  <c r="E430" i="5"/>
  <c r="A430" i="5" s="1"/>
  <c r="B430" i="5"/>
  <c r="K429" i="5"/>
  <c r="E429" i="5"/>
  <c r="A429" i="5" s="1"/>
  <c r="B429" i="5"/>
  <c r="K428" i="5"/>
  <c r="E428" i="5"/>
  <c r="A428" i="5" s="1"/>
  <c r="B428" i="5"/>
  <c r="K427" i="5"/>
  <c r="E427" i="5"/>
  <c r="A427" i="5" s="1"/>
  <c r="B427" i="5"/>
  <c r="K426" i="5"/>
  <c r="E426" i="5"/>
  <c r="A426" i="5" s="1"/>
  <c r="B426" i="5"/>
  <c r="K425" i="5"/>
  <c r="E425" i="5"/>
  <c r="A425" i="5" s="1"/>
  <c r="B425" i="5"/>
  <c r="K424" i="5"/>
  <c r="E424" i="5"/>
  <c r="A424" i="5" s="1"/>
  <c r="B424" i="5"/>
  <c r="K423" i="5"/>
  <c r="E423" i="5"/>
  <c r="A423" i="5" s="1"/>
  <c r="B423" i="5"/>
  <c r="K422" i="5"/>
  <c r="E422" i="5"/>
  <c r="A422" i="5" s="1"/>
  <c r="B422" i="5"/>
  <c r="K421" i="5"/>
  <c r="E421" i="5"/>
  <c r="A421" i="5" s="1"/>
  <c r="B421" i="5"/>
  <c r="K420" i="5"/>
  <c r="E420" i="5"/>
  <c r="A420" i="5" s="1"/>
  <c r="B420" i="5"/>
  <c r="K419" i="5"/>
  <c r="E419" i="5"/>
  <c r="A419" i="5" s="1"/>
  <c r="B419" i="5"/>
  <c r="K418" i="5"/>
  <c r="E418" i="5"/>
  <c r="A418" i="5" s="1"/>
  <c r="B418" i="5"/>
  <c r="K417" i="5"/>
  <c r="E417" i="5"/>
  <c r="A417" i="5" s="1"/>
  <c r="B417" i="5"/>
  <c r="K416" i="5"/>
  <c r="E416" i="5"/>
  <c r="A416" i="5" s="1"/>
  <c r="B416" i="5"/>
  <c r="K415" i="5"/>
  <c r="E415" i="5"/>
  <c r="A415" i="5" s="1"/>
  <c r="B415" i="5"/>
  <c r="K414" i="5"/>
  <c r="E414" i="5"/>
  <c r="A414" i="5" s="1"/>
  <c r="B414" i="5"/>
  <c r="K413" i="5"/>
  <c r="E413" i="5"/>
  <c r="A413" i="5" s="1"/>
  <c r="B413" i="5"/>
  <c r="K412" i="5"/>
  <c r="E412" i="5"/>
  <c r="A412" i="5" s="1"/>
  <c r="B412" i="5"/>
  <c r="K411" i="5"/>
  <c r="E411" i="5"/>
  <c r="A411" i="5" s="1"/>
  <c r="B411" i="5"/>
  <c r="K410" i="5"/>
  <c r="E410" i="5"/>
  <c r="A410" i="5" s="1"/>
  <c r="B410" i="5"/>
  <c r="K409" i="5"/>
  <c r="E409" i="5"/>
  <c r="A409" i="5" s="1"/>
  <c r="B409" i="5"/>
  <c r="K408" i="5"/>
  <c r="E408" i="5"/>
  <c r="A408" i="5" s="1"/>
  <c r="B408" i="5"/>
  <c r="K407" i="5"/>
  <c r="E407" i="5"/>
  <c r="A407" i="5" s="1"/>
  <c r="B407" i="5"/>
  <c r="K406" i="5"/>
  <c r="E406" i="5"/>
  <c r="A406" i="5" s="1"/>
  <c r="B406" i="5"/>
  <c r="K405" i="5"/>
  <c r="E405" i="5"/>
  <c r="A405" i="5" s="1"/>
  <c r="B405" i="5"/>
  <c r="K404" i="5"/>
  <c r="E404" i="5"/>
  <c r="A404" i="5" s="1"/>
  <c r="B404" i="5"/>
  <c r="K403" i="5"/>
  <c r="E403" i="5"/>
  <c r="A403" i="5" s="1"/>
  <c r="B403" i="5"/>
  <c r="K402" i="5"/>
  <c r="E402" i="5"/>
  <c r="A402" i="5" s="1"/>
  <c r="B402" i="5"/>
  <c r="K401" i="5"/>
  <c r="E401" i="5"/>
  <c r="A401" i="5" s="1"/>
  <c r="B401" i="5"/>
  <c r="K400" i="5"/>
  <c r="E400" i="5"/>
  <c r="A400" i="5" s="1"/>
  <c r="B400" i="5"/>
  <c r="K399" i="5"/>
  <c r="E399" i="5"/>
  <c r="A399" i="5" s="1"/>
  <c r="B399" i="5"/>
  <c r="K398" i="5"/>
  <c r="E398" i="5"/>
  <c r="A398" i="5" s="1"/>
  <c r="B398" i="5"/>
  <c r="K397" i="5"/>
  <c r="E397" i="5"/>
  <c r="A397" i="5" s="1"/>
  <c r="B397" i="5"/>
  <c r="K396" i="5"/>
  <c r="E396" i="5"/>
  <c r="A396" i="5" s="1"/>
  <c r="B396" i="5"/>
  <c r="K395" i="5"/>
  <c r="E395" i="5"/>
  <c r="A395" i="5" s="1"/>
  <c r="B395" i="5"/>
  <c r="K394" i="5"/>
  <c r="E394" i="5"/>
  <c r="A394" i="5" s="1"/>
  <c r="B394" i="5"/>
  <c r="K393" i="5"/>
  <c r="E393" i="5"/>
  <c r="A393" i="5" s="1"/>
  <c r="B393" i="5"/>
  <c r="K392" i="5"/>
  <c r="E392" i="5"/>
  <c r="A392" i="5" s="1"/>
  <c r="B392" i="5"/>
  <c r="K391" i="5"/>
  <c r="E391" i="5"/>
  <c r="A391" i="5" s="1"/>
  <c r="B391" i="5"/>
  <c r="K390" i="5"/>
  <c r="E390" i="5"/>
  <c r="A390" i="5" s="1"/>
  <c r="B390" i="5"/>
  <c r="K389" i="5"/>
  <c r="E389" i="5"/>
  <c r="A389" i="5" s="1"/>
  <c r="B389" i="5"/>
  <c r="K388" i="5"/>
  <c r="E388" i="5"/>
  <c r="A388" i="5" s="1"/>
  <c r="B388" i="5"/>
  <c r="K387" i="5"/>
  <c r="E387" i="5"/>
  <c r="A387" i="5" s="1"/>
  <c r="B387" i="5"/>
  <c r="K386" i="5"/>
  <c r="E386" i="5"/>
  <c r="A386" i="5" s="1"/>
  <c r="B386" i="5"/>
  <c r="K385" i="5"/>
  <c r="E385" i="5"/>
  <c r="A385" i="5" s="1"/>
  <c r="B385" i="5"/>
  <c r="K384" i="5"/>
  <c r="E384" i="5"/>
  <c r="A384" i="5" s="1"/>
  <c r="B384" i="5"/>
  <c r="K383" i="5"/>
  <c r="E383" i="5"/>
  <c r="A383" i="5" s="1"/>
  <c r="B383" i="5"/>
  <c r="K382" i="5"/>
  <c r="E382" i="5"/>
  <c r="A382" i="5" s="1"/>
  <c r="B382" i="5"/>
  <c r="K381" i="5"/>
  <c r="E381" i="5"/>
  <c r="A381" i="5" s="1"/>
  <c r="B381" i="5"/>
  <c r="K380" i="5"/>
  <c r="E380" i="5"/>
  <c r="A380" i="5" s="1"/>
  <c r="B380" i="5"/>
  <c r="K379" i="5"/>
  <c r="E379" i="5"/>
  <c r="A379" i="5" s="1"/>
  <c r="B379" i="5"/>
  <c r="K378" i="5"/>
  <c r="E378" i="5"/>
  <c r="A378" i="5" s="1"/>
  <c r="B378" i="5"/>
  <c r="K377" i="5"/>
  <c r="E377" i="5"/>
  <c r="A377" i="5" s="1"/>
  <c r="B377" i="5"/>
  <c r="K376" i="5"/>
  <c r="E376" i="5"/>
  <c r="A376" i="5" s="1"/>
  <c r="B376" i="5"/>
  <c r="K375" i="5"/>
  <c r="E375" i="5"/>
  <c r="A375" i="5" s="1"/>
  <c r="B375" i="5"/>
  <c r="K374" i="5"/>
  <c r="E374" i="5"/>
  <c r="A374" i="5" s="1"/>
  <c r="B374" i="5"/>
  <c r="K373" i="5"/>
  <c r="E373" i="5"/>
  <c r="A373" i="5" s="1"/>
  <c r="B373" i="5"/>
  <c r="K372" i="5"/>
  <c r="E372" i="5"/>
  <c r="A372" i="5" s="1"/>
  <c r="B372" i="5"/>
  <c r="K371" i="5"/>
  <c r="E371" i="5"/>
  <c r="A371" i="5" s="1"/>
  <c r="B371" i="5"/>
  <c r="K370" i="5"/>
  <c r="E370" i="5"/>
  <c r="A370" i="5" s="1"/>
  <c r="B370" i="5"/>
  <c r="K369" i="5"/>
  <c r="E369" i="5"/>
  <c r="A369" i="5" s="1"/>
  <c r="B369" i="5"/>
  <c r="K368" i="5"/>
  <c r="E368" i="5"/>
  <c r="A368" i="5" s="1"/>
  <c r="B368" i="5"/>
  <c r="K367" i="5"/>
  <c r="E367" i="5"/>
  <c r="A367" i="5" s="1"/>
  <c r="B367" i="5"/>
  <c r="K366" i="5"/>
  <c r="E366" i="5"/>
  <c r="A366" i="5" s="1"/>
  <c r="B366" i="5"/>
  <c r="K365" i="5"/>
  <c r="E365" i="5"/>
  <c r="A365" i="5" s="1"/>
  <c r="B365" i="5"/>
  <c r="K364" i="5"/>
  <c r="E364" i="5"/>
  <c r="A364" i="5" s="1"/>
  <c r="B364" i="5"/>
  <c r="K363" i="5"/>
  <c r="E363" i="5"/>
  <c r="A363" i="5" s="1"/>
  <c r="B363" i="5"/>
  <c r="K362" i="5"/>
  <c r="E362" i="5"/>
  <c r="A362" i="5" s="1"/>
  <c r="B362" i="5"/>
  <c r="K361" i="5"/>
  <c r="E361" i="5"/>
  <c r="A361" i="5" s="1"/>
  <c r="B361" i="5"/>
  <c r="K360" i="5"/>
  <c r="E360" i="5"/>
  <c r="A360" i="5" s="1"/>
  <c r="B360" i="5"/>
  <c r="K359" i="5"/>
  <c r="E359" i="5"/>
  <c r="A359" i="5" s="1"/>
  <c r="B359" i="5"/>
  <c r="K358" i="5"/>
  <c r="E358" i="5"/>
  <c r="A358" i="5" s="1"/>
  <c r="B358" i="5"/>
  <c r="K357" i="5"/>
  <c r="E357" i="5"/>
  <c r="A357" i="5" s="1"/>
  <c r="B357" i="5"/>
  <c r="K356" i="5"/>
  <c r="E356" i="5"/>
  <c r="A356" i="5" s="1"/>
  <c r="B356" i="5"/>
  <c r="K355" i="5"/>
  <c r="E355" i="5"/>
  <c r="A355" i="5" s="1"/>
  <c r="B355" i="5"/>
  <c r="K354" i="5"/>
  <c r="E354" i="5"/>
  <c r="A354" i="5" s="1"/>
  <c r="B354" i="5"/>
  <c r="K353" i="5"/>
  <c r="E353" i="5"/>
  <c r="A353" i="5" s="1"/>
  <c r="B353" i="5"/>
  <c r="K352" i="5"/>
  <c r="E352" i="5"/>
  <c r="A352" i="5" s="1"/>
  <c r="B352" i="5"/>
  <c r="K351" i="5"/>
  <c r="E351" i="5"/>
  <c r="A351" i="5" s="1"/>
  <c r="B351" i="5"/>
  <c r="K350" i="5"/>
  <c r="E350" i="5"/>
  <c r="A350" i="5" s="1"/>
  <c r="B350" i="5"/>
  <c r="K349" i="5"/>
  <c r="E349" i="5"/>
  <c r="A349" i="5" s="1"/>
  <c r="B349" i="5"/>
  <c r="K348" i="5"/>
  <c r="E348" i="5"/>
  <c r="A348" i="5" s="1"/>
  <c r="B348" i="5"/>
  <c r="K347" i="5"/>
  <c r="E347" i="5"/>
  <c r="A347" i="5" s="1"/>
  <c r="B347" i="5"/>
  <c r="K346" i="5"/>
  <c r="E346" i="5"/>
  <c r="A346" i="5" s="1"/>
  <c r="B346" i="5"/>
  <c r="K345" i="5"/>
  <c r="E345" i="5"/>
  <c r="A345" i="5" s="1"/>
  <c r="B345" i="5"/>
  <c r="K344" i="5"/>
  <c r="E344" i="5"/>
  <c r="A344" i="5" s="1"/>
  <c r="B344" i="5"/>
  <c r="K343" i="5"/>
  <c r="E343" i="5"/>
  <c r="A343" i="5" s="1"/>
  <c r="B343" i="5"/>
  <c r="K342" i="5"/>
  <c r="E342" i="5"/>
  <c r="A342" i="5" s="1"/>
  <c r="B342" i="5"/>
  <c r="K341" i="5"/>
  <c r="E341" i="5"/>
  <c r="A341" i="5" s="1"/>
  <c r="B341" i="5"/>
  <c r="K340" i="5"/>
  <c r="E340" i="5"/>
  <c r="A340" i="5" s="1"/>
  <c r="B340" i="5"/>
  <c r="K339" i="5"/>
  <c r="E339" i="5"/>
  <c r="A339" i="5" s="1"/>
  <c r="B339" i="5"/>
  <c r="K338" i="5"/>
  <c r="E338" i="5"/>
  <c r="A338" i="5" s="1"/>
  <c r="B338" i="5"/>
  <c r="K337" i="5"/>
  <c r="E337" i="5"/>
  <c r="A337" i="5" s="1"/>
  <c r="B337" i="5"/>
  <c r="K336" i="5"/>
  <c r="E336" i="5"/>
  <c r="A336" i="5" s="1"/>
  <c r="B336" i="5"/>
  <c r="K335" i="5"/>
  <c r="E335" i="5"/>
  <c r="A335" i="5" s="1"/>
  <c r="B335" i="5"/>
  <c r="K334" i="5"/>
  <c r="E334" i="5"/>
  <c r="A334" i="5" s="1"/>
  <c r="B334" i="5"/>
  <c r="K333" i="5"/>
  <c r="E333" i="5"/>
  <c r="A333" i="5" s="1"/>
  <c r="B333" i="5"/>
  <c r="K332" i="5"/>
  <c r="E332" i="5"/>
  <c r="A332" i="5" s="1"/>
  <c r="B332" i="5"/>
  <c r="K331" i="5"/>
  <c r="E331" i="5"/>
  <c r="A331" i="5" s="1"/>
  <c r="B331" i="5"/>
  <c r="K330" i="5"/>
  <c r="E330" i="5"/>
  <c r="A330" i="5" s="1"/>
  <c r="B330" i="5"/>
  <c r="K329" i="5"/>
  <c r="E329" i="5"/>
  <c r="A329" i="5" s="1"/>
  <c r="B329" i="5"/>
  <c r="K328" i="5"/>
  <c r="E328" i="5"/>
  <c r="A328" i="5" s="1"/>
  <c r="B328" i="5"/>
  <c r="K327" i="5"/>
  <c r="E327" i="5"/>
  <c r="A327" i="5" s="1"/>
  <c r="B327" i="5"/>
  <c r="K326" i="5"/>
  <c r="E326" i="5"/>
  <c r="A326" i="5" s="1"/>
  <c r="B326" i="5"/>
  <c r="K325" i="5"/>
  <c r="E325" i="5"/>
  <c r="A325" i="5" s="1"/>
  <c r="B325" i="5"/>
  <c r="K324" i="5"/>
  <c r="E324" i="5"/>
  <c r="A324" i="5" s="1"/>
  <c r="B324" i="5"/>
  <c r="K323" i="5"/>
  <c r="E323" i="5"/>
  <c r="A323" i="5" s="1"/>
  <c r="B323" i="5"/>
  <c r="K322" i="5"/>
  <c r="E322" i="5"/>
  <c r="A322" i="5" s="1"/>
  <c r="B322" i="5"/>
  <c r="K321" i="5"/>
  <c r="E321" i="5"/>
  <c r="A321" i="5" s="1"/>
  <c r="B321" i="5"/>
  <c r="K320" i="5"/>
  <c r="E320" i="5"/>
  <c r="A320" i="5" s="1"/>
  <c r="B320" i="5"/>
  <c r="K319" i="5"/>
  <c r="E319" i="5"/>
  <c r="A319" i="5" s="1"/>
  <c r="B319" i="5"/>
  <c r="K318" i="5"/>
  <c r="E318" i="5"/>
  <c r="A318" i="5" s="1"/>
  <c r="B318" i="5"/>
  <c r="K317" i="5"/>
  <c r="E317" i="5"/>
  <c r="A317" i="5" s="1"/>
  <c r="B317" i="5"/>
  <c r="K316" i="5"/>
  <c r="E316" i="5"/>
  <c r="A316" i="5" s="1"/>
  <c r="B316" i="5"/>
  <c r="K315" i="5"/>
  <c r="E315" i="5"/>
  <c r="A315" i="5" s="1"/>
  <c r="B315" i="5"/>
  <c r="K314" i="5"/>
  <c r="E314" i="5"/>
  <c r="A314" i="5" s="1"/>
  <c r="B314" i="5"/>
  <c r="K313" i="5"/>
  <c r="E313" i="5"/>
  <c r="A313" i="5" s="1"/>
  <c r="B313" i="5"/>
  <c r="K312" i="5"/>
  <c r="E312" i="5"/>
  <c r="A312" i="5" s="1"/>
  <c r="B312" i="5"/>
  <c r="K311" i="5"/>
  <c r="E311" i="5"/>
  <c r="A311" i="5" s="1"/>
  <c r="B311" i="5"/>
  <c r="K310" i="5"/>
  <c r="E310" i="5"/>
  <c r="A310" i="5" s="1"/>
  <c r="B310" i="5"/>
  <c r="K309" i="5"/>
  <c r="E309" i="5"/>
  <c r="A309" i="5" s="1"/>
  <c r="B309" i="5"/>
  <c r="K308" i="5"/>
  <c r="E308" i="5"/>
  <c r="A308" i="5" s="1"/>
  <c r="B308" i="5"/>
  <c r="K307" i="5"/>
  <c r="E307" i="5"/>
  <c r="A307" i="5" s="1"/>
  <c r="B307" i="5"/>
  <c r="K306" i="5"/>
  <c r="E306" i="5"/>
  <c r="A306" i="5" s="1"/>
  <c r="B306" i="5"/>
  <c r="K305" i="5"/>
  <c r="E305" i="5"/>
  <c r="A305" i="5" s="1"/>
  <c r="B305" i="5"/>
  <c r="K304" i="5"/>
  <c r="E304" i="5"/>
  <c r="A304" i="5" s="1"/>
  <c r="B304" i="5"/>
  <c r="K303" i="5"/>
  <c r="E303" i="5"/>
  <c r="A303" i="5" s="1"/>
  <c r="B303" i="5"/>
  <c r="K302" i="5"/>
  <c r="E302" i="5"/>
  <c r="A302" i="5" s="1"/>
  <c r="B302" i="5"/>
  <c r="K301" i="5"/>
  <c r="E301" i="5"/>
  <c r="A301" i="5" s="1"/>
  <c r="B301" i="5"/>
  <c r="K300" i="5"/>
  <c r="E300" i="5"/>
  <c r="A300" i="5" s="1"/>
  <c r="B300" i="5"/>
  <c r="K299" i="5"/>
  <c r="E299" i="5"/>
  <c r="A299" i="5" s="1"/>
  <c r="B299" i="5"/>
  <c r="K298" i="5"/>
  <c r="E298" i="5"/>
  <c r="A298" i="5" s="1"/>
  <c r="B298" i="5"/>
  <c r="K297" i="5"/>
  <c r="E297" i="5"/>
  <c r="A297" i="5" s="1"/>
  <c r="B297" i="5"/>
  <c r="K296" i="5"/>
  <c r="E296" i="5"/>
  <c r="A296" i="5" s="1"/>
  <c r="B296" i="5"/>
  <c r="K295" i="5"/>
  <c r="E295" i="5"/>
  <c r="A295" i="5" s="1"/>
  <c r="B295" i="5"/>
  <c r="K294" i="5"/>
  <c r="A294" i="5"/>
  <c r="B294" i="5"/>
  <c r="K293" i="5"/>
  <c r="E293" i="5"/>
  <c r="A293" i="5" s="1"/>
  <c r="B293" i="5"/>
  <c r="K292" i="5"/>
  <c r="E292" i="5"/>
  <c r="A292" i="5" s="1"/>
  <c r="B292" i="5"/>
  <c r="K291" i="5"/>
  <c r="E291" i="5"/>
  <c r="A291" i="5" s="1"/>
  <c r="B291" i="5"/>
  <c r="K290" i="5"/>
  <c r="E290" i="5"/>
  <c r="A290" i="5" s="1"/>
  <c r="B290" i="5"/>
  <c r="K289" i="5"/>
  <c r="E289" i="5"/>
  <c r="A289" i="5" s="1"/>
  <c r="B289" i="5"/>
  <c r="K288" i="5"/>
  <c r="E288" i="5"/>
  <c r="A288" i="5" s="1"/>
  <c r="B288" i="5"/>
  <c r="K287" i="5"/>
  <c r="E287" i="5"/>
  <c r="A287" i="5" s="1"/>
  <c r="B287" i="5"/>
  <c r="K286" i="5"/>
  <c r="E286" i="5"/>
  <c r="A286" i="5" s="1"/>
  <c r="B286" i="5"/>
  <c r="K285" i="5"/>
  <c r="E285" i="5"/>
  <c r="A285" i="5" s="1"/>
  <c r="B285" i="5"/>
  <c r="K284" i="5"/>
  <c r="E284" i="5"/>
  <c r="A284" i="5" s="1"/>
  <c r="B284" i="5"/>
  <c r="K283" i="5"/>
  <c r="E283" i="5"/>
  <c r="A283" i="5" s="1"/>
  <c r="B283" i="5"/>
  <c r="K282" i="5"/>
  <c r="E282" i="5"/>
  <c r="A282" i="5" s="1"/>
  <c r="B282" i="5"/>
  <c r="K281" i="5"/>
  <c r="E281" i="5"/>
  <c r="A281" i="5" s="1"/>
  <c r="B281" i="5"/>
  <c r="K280" i="5"/>
  <c r="E280" i="5"/>
  <c r="A280" i="5" s="1"/>
  <c r="B280" i="5"/>
  <c r="K279" i="5"/>
  <c r="E279" i="5"/>
  <c r="A279" i="5" s="1"/>
  <c r="B279" i="5"/>
  <c r="K278" i="5"/>
  <c r="E278" i="5"/>
  <c r="A278" i="5" s="1"/>
  <c r="B278" i="5"/>
  <c r="K277" i="5"/>
  <c r="E277" i="5"/>
  <c r="A277" i="5" s="1"/>
  <c r="B277" i="5"/>
  <c r="K276" i="5"/>
  <c r="E276" i="5"/>
  <c r="A276" i="5" s="1"/>
  <c r="B276" i="5"/>
  <c r="K275" i="5"/>
  <c r="E275" i="5"/>
  <c r="A275" i="5" s="1"/>
  <c r="B275" i="5"/>
  <c r="K274" i="5"/>
  <c r="E274" i="5"/>
  <c r="A274" i="5" s="1"/>
  <c r="B274" i="5"/>
  <c r="K273" i="5"/>
  <c r="E273" i="5"/>
  <c r="A273" i="5" s="1"/>
  <c r="B273" i="5"/>
  <c r="K272" i="5"/>
  <c r="E272" i="5"/>
  <c r="A272" i="5" s="1"/>
  <c r="B272" i="5"/>
  <c r="K271" i="5"/>
  <c r="E271" i="5"/>
  <c r="A271" i="5" s="1"/>
  <c r="B271" i="5"/>
  <c r="K270" i="5"/>
  <c r="E270" i="5"/>
  <c r="A270" i="5" s="1"/>
  <c r="B270" i="5"/>
  <c r="K269" i="5"/>
  <c r="E269" i="5"/>
  <c r="A269" i="5" s="1"/>
  <c r="B269" i="5"/>
  <c r="K268" i="5"/>
  <c r="E268" i="5"/>
  <c r="A268" i="5" s="1"/>
  <c r="B268" i="5"/>
  <c r="K267" i="5"/>
  <c r="E267" i="5"/>
  <c r="A267" i="5" s="1"/>
  <c r="B267" i="5"/>
  <c r="K266" i="5"/>
  <c r="E266" i="5"/>
  <c r="A266" i="5" s="1"/>
  <c r="B266" i="5"/>
  <c r="K265" i="5"/>
  <c r="E265" i="5"/>
  <c r="A265" i="5" s="1"/>
  <c r="B265" i="5"/>
  <c r="K264" i="5"/>
  <c r="E264" i="5"/>
  <c r="A264" i="5" s="1"/>
  <c r="B264" i="5"/>
  <c r="K263" i="5"/>
  <c r="E263" i="5"/>
  <c r="A263" i="5" s="1"/>
  <c r="B263" i="5"/>
  <c r="K262" i="5"/>
  <c r="E262" i="5"/>
  <c r="A262" i="5" s="1"/>
  <c r="B262" i="5"/>
  <c r="K261" i="5"/>
  <c r="E261" i="5"/>
  <c r="A261" i="5" s="1"/>
  <c r="B261" i="5"/>
  <c r="K260" i="5"/>
  <c r="E260" i="5"/>
  <c r="A260" i="5" s="1"/>
  <c r="B260" i="5"/>
  <c r="K259" i="5"/>
  <c r="E259" i="5"/>
  <c r="A259" i="5" s="1"/>
  <c r="B259" i="5"/>
  <c r="K258" i="5"/>
  <c r="E258" i="5"/>
  <c r="A258" i="5" s="1"/>
  <c r="B258" i="5"/>
  <c r="K257" i="5"/>
  <c r="E257" i="5"/>
  <c r="A257" i="5" s="1"/>
  <c r="B257" i="5"/>
  <c r="K256" i="5"/>
  <c r="E256" i="5"/>
  <c r="A256" i="5" s="1"/>
  <c r="B256" i="5"/>
  <c r="K255" i="5"/>
  <c r="E255" i="5"/>
  <c r="A255" i="5" s="1"/>
  <c r="B255" i="5"/>
  <c r="K254" i="5"/>
  <c r="E254" i="5"/>
  <c r="A254" i="5" s="1"/>
  <c r="B254" i="5"/>
  <c r="K253" i="5"/>
  <c r="E253" i="5"/>
  <c r="A253" i="5" s="1"/>
  <c r="B253" i="5"/>
  <c r="K252" i="5"/>
  <c r="E252" i="5"/>
  <c r="A252" i="5" s="1"/>
  <c r="B252" i="5"/>
  <c r="K251" i="5"/>
  <c r="E251" i="5"/>
  <c r="A251" i="5" s="1"/>
  <c r="B251" i="5"/>
  <c r="K250" i="5"/>
  <c r="E250" i="5"/>
  <c r="A250" i="5" s="1"/>
  <c r="B250" i="5"/>
  <c r="K249" i="5"/>
  <c r="E249" i="5"/>
  <c r="A249" i="5" s="1"/>
  <c r="B249" i="5"/>
  <c r="K248" i="5"/>
  <c r="E248" i="5"/>
  <c r="A248" i="5" s="1"/>
  <c r="B248" i="5"/>
  <c r="K247" i="5"/>
  <c r="E247" i="5"/>
  <c r="A247" i="5" s="1"/>
  <c r="B247" i="5"/>
  <c r="K246" i="5"/>
  <c r="E246" i="5"/>
  <c r="A246" i="5" s="1"/>
  <c r="B246" i="5"/>
  <c r="K245" i="5"/>
  <c r="E245" i="5"/>
  <c r="A245" i="5" s="1"/>
  <c r="B245" i="5"/>
  <c r="K244" i="5"/>
  <c r="E244" i="5"/>
  <c r="A244" i="5" s="1"/>
  <c r="B244" i="5"/>
  <c r="K243" i="5"/>
  <c r="E243" i="5"/>
  <c r="A243" i="5" s="1"/>
  <c r="B243" i="5"/>
  <c r="K242" i="5"/>
  <c r="E242" i="5"/>
  <c r="A242" i="5" s="1"/>
  <c r="B242" i="5"/>
  <c r="K241" i="5"/>
  <c r="E241" i="5"/>
  <c r="A241" i="5" s="1"/>
  <c r="B241" i="5"/>
  <c r="K240" i="5"/>
  <c r="E240" i="5"/>
  <c r="A240" i="5" s="1"/>
  <c r="B240" i="5"/>
  <c r="K239" i="5"/>
  <c r="E239" i="5"/>
  <c r="A239" i="5" s="1"/>
  <c r="B239" i="5"/>
  <c r="K238" i="5"/>
  <c r="E238" i="5"/>
  <c r="A238" i="5" s="1"/>
  <c r="B238" i="5"/>
  <c r="K237" i="5"/>
  <c r="E237" i="5"/>
  <c r="A237" i="5" s="1"/>
  <c r="B237" i="5"/>
  <c r="K236" i="5"/>
  <c r="E236" i="5"/>
  <c r="A236" i="5" s="1"/>
  <c r="B236" i="5"/>
  <c r="K235" i="5"/>
  <c r="E235" i="5"/>
  <c r="A235" i="5" s="1"/>
  <c r="B235" i="5"/>
  <c r="K234" i="5"/>
  <c r="E234" i="5"/>
  <c r="A234" i="5" s="1"/>
  <c r="B234" i="5"/>
  <c r="K233" i="5"/>
  <c r="E233" i="5"/>
  <c r="A233" i="5" s="1"/>
  <c r="B233" i="5"/>
  <c r="K232" i="5"/>
  <c r="E232" i="5"/>
  <c r="A232" i="5" s="1"/>
  <c r="B232" i="5"/>
  <c r="K231" i="5"/>
  <c r="E231" i="5"/>
  <c r="A231" i="5" s="1"/>
  <c r="B231" i="5"/>
  <c r="K230" i="5"/>
  <c r="E230" i="5"/>
  <c r="A230" i="5" s="1"/>
  <c r="B230" i="5"/>
  <c r="K229" i="5"/>
  <c r="E229" i="5"/>
  <c r="A229" i="5" s="1"/>
  <c r="B229" i="5"/>
  <c r="K228" i="5"/>
  <c r="E228" i="5"/>
  <c r="A228" i="5" s="1"/>
  <c r="B228" i="5"/>
  <c r="K227" i="5"/>
  <c r="E227" i="5"/>
  <c r="A227" i="5" s="1"/>
  <c r="B227" i="5"/>
  <c r="K226" i="5"/>
  <c r="E226" i="5"/>
  <c r="A226" i="5" s="1"/>
  <c r="B226" i="5"/>
  <c r="K225" i="5"/>
  <c r="E225" i="5"/>
  <c r="A225" i="5" s="1"/>
  <c r="B225" i="5"/>
  <c r="K224" i="5"/>
  <c r="E224" i="5"/>
  <c r="A224" i="5" s="1"/>
  <c r="B224" i="5"/>
  <c r="K223" i="5"/>
  <c r="E223" i="5"/>
  <c r="A223" i="5" s="1"/>
  <c r="B223" i="5"/>
  <c r="K222" i="5"/>
  <c r="E222" i="5"/>
  <c r="A222" i="5" s="1"/>
  <c r="B222" i="5"/>
  <c r="K221" i="5"/>
  <c r="E221" i="5"/>
  <c r="A221" i="5" s="1"/>
  <c r="B221" i="5"/>
  <c r="K220" i="5"/>
  <c r="E220" i="5"/>
  <c r="A220" i="5" s="1"/>
  <c r="B220" i="5"/>
  <c r="K219" i="5"/>
  <c r="E219" i="5"/>
  <c r="A219" i="5" s="1"/>
  <c r="B219" i="5"/>
  <c r="K218" i="5"/>
  <c r="E218" i="5"/>
  <c r="A218" i="5" s="1"/>
  <c r="B218" i="5"/>
  <c r="K217" i="5"/>
  <c r="E217" i="5"/>
  <c r="A217" i="5" s="1"/>
  <c r="B217" i="5"/>
  <c r="K216" i="5"/>
  <c r="E216" i="5"/>
  <c r="A216" i="5" s="1"/>
  <c r="B216" i="5"/>
  <c r="K215" i="5"/>
  <c r="E215" i="5"/>
  <c r="A215" i="5" s="1"/>
  <c r="B215" i="5"/>
  <c r="K214" i="5"/>
  <c r="E214" i="5"/>
  <c r="A214" i="5" s="1"/>
  <c r="B214" i="5"/>
  <c r="K213" i="5"/>
  <c r="E213" i="5"/>
  <c r="A213" i="5" s="1"/>
  <c r="B213" i="5"/>
  <c r="K212" i="5"/>
  <c r="E212" i="5"/>
  <c r="A212" i="5" s="1"/>
  <c r="B212" i="5"/>
  <c r="K211" i="5"/>
  <c r="E211" i="5"/>
  <c r="A211" i="5" s="1"/>
  <c r="B211" i="5"/>
  <c r="K210" i="5"/>
  <c r="E210" i="5"/>
  <c r="A210" i="5" s="1"/>
  <c r="B210" i="5"/>
  <c r="K209" i="5"/>
  <c r="E209" i="5"/>
  <c r="A209" i="5" s="1"/>
  <c r="B209" i="5"/>
  <c r="K208" i="5"/>
  <c r="E208" i="5"/>
  <c r="A208" i="5" s="1"/>
  <c r="B208" i="5"/>
  <c r="K207" i="5"/>
  <c r="E207" i="5"/>
  <c r="A207" i="5" s="1"/>
  <c r="B207" i="5"/>
  <c r="K206" i="5"/>
  <c r="E206" i="5"/>
  <c r="A206" i="5" s="1"/>
  <c r="B206" i="5"/>
  <c r="K205" i="5"/>
  <c r="E205" i="5"/>
  <c r="A205" i="5" s="1"/>
  <c r="B205" i="5"/>
  <c r="K204" i="5"/>
  <c r="E204" i="5"/>
  <c r="A204" i="5" s="1"/>
  <c r="B204" i="5"/>
  <c r="K203" i="5"/>
  <c r="E203" i="5"/>
  <c r="A203" i="5" s="1"/>
  <c r="B203" i="5"/>
  <c r="K202" i="5"/>
  <c r="E202" i="5"/>
  <c r="A202" i="5" s="1"/>
  <c r="B202" i="5"/>
  <c r="K201" i="5"/>
  <c r="E201" i="5"/>
  <c r="A201" i="5" s="1"/>
  <c r="B201" i="5"/>
  <c r="K200" i="5"/>
  <c r="E200" i="5"/>
  <c r="A200" i="5" s="1"/>
  <c r="B200" i="5"/>
  <c r="K199" i="5"/>
  <c r="E199" i="5"/>
  <c r="A199" i="5" s="1"/>
  <c r="B199" i="5"/>
  <c r="K198" i="5"/>
  <c r="E198" i="5"/>
  <c r="A198" i="5" s="1"/>
  <c r="B198" i="5"/>
  <c r="K197" i="5"/>
  <c r="E197" i="5"/>
  <c r="A197" i="5" s="1"/>
  <c r="B197" i="5"/>
  <c r="K196" i="5"/>
  <c r="E196" i="5"/>
  <c r="A196" i="5" s="1"/>
  <c r="B196" i="5"/>
  <c r="K195" i="5"/>
  <c r="E195" i="5"/>
  <c r="A195" i="5" s="1"/>
  <c r="B195" i="5"/>
  <c r="K194" i="5"/>
  <c r="E194" i="5"/>
  <c r="A194" i="5" s="1"/>
  <c r="B194" i="5"/>
  <c r="K193" i="5"/>
  <c r="E193" i="5"/>
  <c r="A193" i="5" s="1"/>
  <c r="B193" i="5"/>
  <c r="K192" i="5"/>
  <c r="E192" i="5"/>
  <c r="A192" i="5" s="1"/>
  <c r="B192" i="5"/>
  <c r="K191" i="5"/>
  <c r="E191" i="5"/>
  <c r="A191" i="5" s="1"/>
  <c r="B191" i="5"/>
  <c r="K190" i="5"/>
  <c r="E190" i="5"/>
  <c r="A190" i="5" s="1"/>
  <c r="B190" i="5"/>
  <c r="K189" i="5"/>
  <c r="E189" i="5"/>
  <c r="A189" i="5" s="1"/>
  <c r="B189" i="5"/>
  <c r="K188" i="5"/>
  <c r="E188" i="5"/>
  <c r="A188" i="5" s="1"/>
  <c r="B188" i="5"/>
  <c r="K187" i="5"/>
  <c r="E187" i="5"/>
  <c r="A187" i="5" s="1"/>
  <c r="B187" i="5"/>
  <c r="K186" i="5"/>
  <c r="E186" i="5"/>
  <c r="A186" i="5" s="1"/>
  <c r="B186" i="5"/>
  <c r="K185" i="5"/>
  <c r="E185" i="5"/>
  <c r="A185" i="5" s="1"/>
  <c r="B185" i="5"/>
  <c r="K184" i="5"/>
  <c r="E184" i="5"/>
  <c r="A184" i="5" s="1"/>
  <c r="B184" i="5"/>
  <c r="Q183" i="5"/>
  <c r="K183" i="5"/>
  <c r="E183" i="5"/>
  <c r="A183" i="5" s="1"/>
  <c r="B183" i="5"/>
  <c r="Q182" i="5"/>
  <c r="K182" i="5"/>
  <c r="E182" i="5"/>
  <c r="A182" i="5" s="1"/>
  <c r="B182" i="5"/>
  <c r="K181" i="5"/>
  <c r="E181" i="5"/>
  <c r="A181" i="5" s="1"/>
  <c r="B181" i="5"/>
  <c r="K180" i="5"/>
  <c r="E180" i="5"/>
  <c r="A180" i="5" s="1"/>
  <c r="B180" i="5"/>
  <c r="K179" i="5"/>
  <c r="E179" i="5"/>
  <c r="A179" i="5" s="1"/>
  <c r="B179" i="5"/>
  <c r="K178" i="5"/>
  <c r="E178" i="5"/>
  <c r="A178" i="5" s="1"/>
  <c r="B178" i="5"/>
  <c r="K177" i="5"/>
  <c r="E177" i="5"/>
  <c r="A177" i="5" s="1"/>
  <c r="B177" i="5"/>
  <c r="K176" i="5"/>
  <c r="E176" i="5"/>
  <c r="A176" i="5" s="1"/>
  <c r="B176" i="5"/>
  <c r="K175" i="5"/>
  <c r="E175" i="5"/>
  <c r="A175" i="5" s="1"/>
  <c r="B175" i="5"/>
  <c r="K174" i="5"/>
  <c r="E174" i="5"/>
  <c r="A174" i="5" s="1"/>
  <c r="B174" i="5"/>
  <c r="K173" i="5"/>
  <c r="E173" i="5"/>
  <c r="A173" i="5" s="1"/>
  <c r="B173" i="5"/>
  <c r="K172" i="5"/>
  <c r="E172" i="5"/>
  <c r="A172" i="5" s="1"/>
  <c r="B172" i="5"/>
  <c r="K171" i="5"/>
  <c r="E171" i="5"/>
  <c r="A171" i="5" s="1"/>
  <c r="B171" i="5"/>
  <c r="K170" i="5"/>
  <c r="E170" i="5"/>
  <c r="A170" i="5" s="1"/>
  <c r="B170" i="5"/>
  <c r="K169" i="5"/>
  <c r="E169" i="5"/>
  <c r="A169" i="5" s="1"/>
  <c r="B169" i="5"/>
  <c r="K168" i="5"/>
  <c r="E168" i="5"/>
  <c r="A168" i="5" s="1"/>
  <c r="B168" i="5"/>
  <c r="K167" i="5"/>
  <c r="E167" i="5"/>
  <c r="A167" i="5" s="1"/>
  <c r="B167" i="5"/>
  <c r="K166" i="5"/>
  <c r="E166" i="5"/>
  <c r="A166" i="5" s="1"/>
  <c r="B166" i="5"/>
  <c r="K165" i="5"/>
  <c r="E165" i="5"/>
  <c r="A165" i="5" s="1"/>
  <c r="B165" i="5"/>
  <c r="K164" i="5"/>
  <c r="E164" i="5"/>
  <c r="A164" i="5" s="1"/>
  <c r="B164" i="5"/>
  <c r="K163" i="5"/>
  <c r="E163" i="5"/>
  <c r="A163" i="5" s="1"/>
  <c r="B163" i="5"/>
  <c r="K162" i="5"/>
  <c r="E162" i="5"/>
  <c r="A162" i="5" s="1"/>
  <c r="B162" i="5"/>
  <c r="Q161" i="5"/>
  <c r="K161" i="5"/>
  <c r="E161" i="5"/>
  <c r="A161" i="5" s="1"/>
  <c r="B161" i="5"/>
  <c r="K160" i="5"/>
  <c r="E160" i="5"/>
  <c r="A160" i="5" s="1"/>
  <c r="B160" i="5"/>
  <c r="K159" i="5"/>
  <c r="E159" i="5"/>
  <c r="A159" i="5" s="1"/>
  <c r="B159" i="5"/>
  <c r="K158" i="5"/>
  <c r="E158" i="5"/>
  <c r="A158" i="5" s="1"/>
  <c r="B158" i="5"/>
  <c r="K157" i="5"/>
  <c r="E157" i="5"/>
  <c r="A157" i="5" s="1"/>
  <c r="B157" i="5"/>
  <c r="K156" i="5"/>
  <c r="E156" i="5"/>
  <c r="A156" i="5" s="1"/>
  <c r="B156" i="5"/>
  <c r="K155" i="5"/>
  <c r="E155" i="5"/>
  <c r="A155" i="5" s="1"/>
  <c r="B155" i="5"/>
  <c r="K154" i="5"/>
  <c r="E154" i="5"/>
  <c r="A154" i="5" s="1"/>
  <c r="B154" i="5"/>
  <c r="K153" i="5"/>
  <c r="E153" i="5"/>
  <c r="A153" i="5" s="1"/>
  <c r="B153" i="5"/>
  <c r="K152" i="5"/>
  <c r="E152" i="5"/>
  <c r="A152" i="5" s="1"/>
  <c r="B152" i="5"/>
  <c r="K151" i="5"/>
  <c r="E151" i="5"/>
  <c r="A151" i="5" s="1"/>
  <c r="B151" i="5"/>
  <c r="K150" i="5"/>
  <c r="E150" i="5"/>
  <c r="A150" i="5" s="1"/>
  <c r="B150" i="5"/>
  <c r="K149" i="5"/>
  <c r="E149" i="5"/>
  <c r="A149" i="5" s="1"/>
  <c r="B149" i="5"/>
  <c r="K148" i="5"/>
  <c r="E148" i="5"/>
  <c r="A148" i="5" s="1"/>
  <c r="B148" i="5"/>
  <c r="K147" i="5"/>
  <c r="E147" i="5"/>
  <c r="A147" i="5" s="1"/>
  <c r="B147" i="5"/>
  <c r="K146" i="5"/>
  <c r="E146" i="5"/>
  <c r="A146" i="5" s="1"/>
  <c r="B146" i="5"/>
  <c r="K145" i="5"/>
  <c r="E145" i="5"/>
  <c r="A145" i="5" s="1"/>
  <c r="B145" i="5"/>
  <c r="K144" i="5"/>
  <c r="E144" i="5"/>
  <c r="A144" i="5" s="1"/>
  <c r="B144" i="5"/>
  <c r="K143" i="5"/>
  <c r="E143" i="5"/>
  <c r="A143" i="5" s="1"/>
  <c r="B143" i="5"/>
  <c r="K142" i="5"/>
  <c r="E142" i="5"/>
  <c r="A142" i="5" s="1"/>
  <c r="B142" i="5"/>
  <c r="K141" i="5"/>
  <c r="E141" i="5"/>
  <c r="A141" i="5" s="1"/>
  <c r="B141" i="5"/>
  <c r="K140" i="5"/>
  <c r="E140" i="5"/>
  <c r="A140" i="5" s="1"/>
  <c r="B140" i="5"/>
  <c r="K139" i="5"/>
  <c r="E139" i="5"/>
  <c r="A139" i="5" s="1"/>
  <c r="B139" i="5"/>
  <c r="K138" i="5"/>
  <c r="E138" i="5"/>
  <c r="A138" i="5" s="1"/>
  <c r="B138" i="5"/>
  <c r="K137" i="5"/>
  <c r="E137" i="5"/>
  <c r="A137" i="5" s="1"/>
  <c r="B137" i="5"/>
  <c r="K136" i="5"/>
  <c r="E136" i="5"/>
  <c r="A136" i="5" s="1"/>
  <c r="B136" i="5"/>
  <c r="K135" i="5"/>
  <c r="E135" i="5"/>
  <c r="A135" i="5" s="1"/>
  <c r="B135" i="5"/>
  <c r="K134" i="5"/>
  <c r="E134" i="5"/>
  <c r="A134" i="5" s="1"/>
  <c r="B134" i="5"/>
  <c r="K133" i="5"/>
  <c r="E133" i="5"/>
  <c r="A133" i="5" s="1"/>
  <c r="B133" i="5"/>
  <c r="K132" i="5"/>
  <c r="E132" i="5"/>
  <c r="A132" i="5" s="1"/>
  <c r="B132" i="5"/>
  <c r="K131" i="5"/>
  <c r="E131" i="5"/>
  <c r="A131" i="5" s="1"/>
  <c r="B131" i="5"/>
  <c r="K130" i="5"/>
  <c r="E130" i="5"/>
  <c r="A130" i="5" s="1"/>
  <c r="B130" i="5"/>
  <c r="K129" i="5"/>
  <c r="E129" i="5"/>
  <c r="A129" i="5" s="1"/>
  <c r="B129" i="5"/>
  <c r="K128" i="5"/>
  <c r="E128" i="5"/>
  <c r="A128" i="5" s="1"/>
  <c r="B128" i="5"/>
  <c r="K127" i="5"/>
  <c r="E127" i="5"/>
  <c r="A127" i="5" s="1"/>
  <c r="B127" i="5"/>
  <c r="K126" i="5"/>
  <c r="E126" i="5"/>
  <c r="A126" i="5" s="1"/>
  <c r="B126" i="5"/>
  <c r="K125" i="5"/>
  <c r="E125" i="5"/>
  <c r="A125" i="5" s="1"/>
  <c r="B125" i="5"/>
  <c r="K124" i="5"/>
  <c r="E124" i="5"/>
  <c r="A124" i="5" s="1"/>
  <c r="B124" i="5"/>
  <c r="K123" i="5"/>
  <c r="E123" i="5"/>
  <c r="A123" i="5" s="1"/>
  <c r="B123" i="5"/>
  <c r="K122" i="5"/>
  <c r="E122" i="5"/>
  <c r="A122" i="5" s="1"/>
  <c r="B122" i="5"/>
  <c r="K121" i="5"/>
  <c r="E121" i="5"/>
  <c r="A121" i="5" s="1"/>
  <c r="B121" i="5"/>
  <c r="K120" i="5"/>
  <c r="E120" i="5"/>
  <c r="A120" i="5" s="1"/>
  <c r="B120" i="5"/>
  <c r="K119" i="5"/>
  <c r="E119" i="5"/>
  <c r="A119" i="5" s="1"/>
  <c r="B119" i="5"/>
  <c r="K118" i="5"/>
  <c r="E118" i="5"/>
  <c r="A118" i="5" s="1"/>
  <c r="B118" i="5"/>
  <c r="K117" i="5"/>
  <c r="E117" i="5"/>
  <c r="A117" i="5" s="1"/>
  <c r="B117" i="5"/>
  <c r="K116" i="5"/>
  <c r="E116" i="5"/>
  <c r="A116" i="5" s="1"/>
  <c r="B116" i="5"/>
  <c r="K115" i="5"/>
  <c r="E115" i="5"/>
  <c r="A115" i="5" s="1"/>
  <c r="B115" i="5"/>
  <c r="K114" i="5"/>
  <c r="E114" i="5"/>
  <c r="A114" i="5" s="1"/>
  <c r="B114" i="5"/>
  <c r="K113" i="5"/>
  <c r="E113" i="5"/>
  <c r="A113" i="5" s="1"/>
  <c r="B113" i="5"/>
  <c r="K112" i="5"/>
  <c r="E112" i="5"/>
  <c r="A112" i="5" s="1"/>
  <c r="B112" i="5"/>
  <c r="K111" i="5"/>
  <c r="E111" i="5"/>
  <c r="A111" i="5" s="1"/>
  <c r="B111" i="5"/>
  <c r="K110" i="5"/>
  <c r="E110" i="5"/>
  <c r="A110" i="5" s="1"/>
  <c r="B110" i="5"/>
  <c r="K109" i="5"/>
  <c r="E109" i="5"/>
  <c r="A109" i="5" s="1"/>
  <c r="B109" i="5"/>
  <c r="K108" i="5"/>
  <c r="E108" i="5"/>
  <c r="A108" i="5" s="1"/>
  <c r="B108" i="5"/>
  <c r="K107" i="5"/>
  <c r="E107" i="5"/>
  <c r="A107" i="5" s="1"/>
  <c r="B107" i="5"/>
  <c r="K106" i="5"/>
  <c r="E106" i="5"/>
  <c r="A106" i="5" s="1"/>
  <c r="B106" i="5"/>
  <c r="K105" i="5"/>
  <c r="E105" i="5"/>
  <c r="A105" i="5" s="1"/>
  <c r="B105" i="5"/>
  <c r="K104" i="5"/>
  <c r="E104" i="5"/>
  <c r="A104" i="5" s="1"/>
  <c r="B104" i="5"/>
  <c r="K103" i="5"/>
  <c r="E103" i="5"/>
  <c r="A103" i="5" s="1"/>
  <c r="B103" i="5"/>
  <c r="K102" i="5"/>
  <c r="E102" i="5"/>
  <c r="A102" i="5" s="1"/>
  <c r="B102" i="5"/>
  <c r="K101" i="5"/>
  <c r="E101" i="5"/>
  <c r="A101" i="5" s="1"/>
  <c r="B101" i="5"/>
  <c r="K100" i="5"/>
  <c r="E100" i="5"/>
  <c r="A100" i="5" s="1"/>
  <c r="B100" i="5"/>
  <c r="K99" i="5"/>
  <c r="E99" i="5"/>
  <c r="A99" i="5" s="1"/>
  <c r="B99" i="5"/>
  <c r="K98" i="5"/>
  <c r="E98" i="5"/>
  <c r="A98" i="5" s="1"/>
  <c r="B98" i="5"/>
  <c r="K97" i="5"/>
  <c r="E97" i="5"/>
  <c r="A97" i="5" s="1"/>
  <c r="B97" i="5"/>
  <c r="K96" i="5"/>
  <c r="E96" i="5"/>
  <c r="A96" i="5" s="1"/>
  <c r="B96" i="5"/>
  <c r="K95" i="5"/>
  <c r="E95" i="5"/>
  <c r="A95" i="5" s="1"/>
  <c r="B95" i="5"/>
  <c r="K94" i="5"/>
  <c r="E94" i="5"/>
  <c r="A94" i="5" s="1"/>
  <c r="B94" i="5"/>
  <c r="K93" i="5"/>
  <c r="E93" i="5"/>
  <c r="A93" i="5" s="1"/>
  <c r="B93" i="5"/>
  <c r="K92" i="5"/>
  <c r="E92" i="5"/>
  <c r="A92" i="5" s="1"/>
  <c r="B92" i="5"/>
  <c r="K91" i="5"/>
  <c r="E91" i="5"/>
  <c r="A91" i="5" s="1"/>
  <c r="B91" i="5"/>
  <c r="K90" i="5"/>
  <c r="E90" i="5"/>
  <c r="A90" i="5" s="1"/>
  <c r="B90" i="5"/>
  <c r="K89" i="5"/>
  <c r="E89" i="5"/>
  <c r="A89" i="5" s="1"/>
  <c r="B89" i="5"/>
  <c r="K88" i="5"/>
  <c r="E88" i="5"/>
  <c r="A88" i="5" s="1"/>
  <c r="B88" i="5"/>
  <c r="K87" i="5"/>
  <c r="E87" i="5"/>
  <c r="A87" i="5" s="1"/>
  <c r="B87" i="5"/>
  <c r="K86" i="5"/>
  <c r="E86" i="5"/>
  <c r="A86" i="5" s="1"/>
  <c r="B86" i="5"/>
  <c r="K85" i="5"/>
  <c r="E85" i="5"/>
  <c r="A85" i="5" s="1"/>
  <c r="B85" i="5"/>
  <c r="K84" i="5"/>
  <c r="E84" i="5"/>
  <c r="A84" i="5" s="1"/>
  <c r="B84" i="5"/>
  <c r="K83" i="5"/>
  <c r="E83" i="5"/>
  <c r="A83" i="5" s="1"/>
  <c r="B83" i="5"/>
  <c r="K82" i="5"/>
  <c r="E82" i="5"/>
  <c r="A82" i="5" s="1"/>
  <c r="B82" i="5"/>
  <c r="K81" i="5"/>
  <c r="E81" i="5"/>
  <c r="A81" i="5" s="1"/>
  <c r="B81" i="5"/>
  <c r="K80" i="5"/>
  <c r="E80" i="5"/>
  <c r="A80" i="5" s="1"/>
  <c r="B80" i="5"/>
  <c r="K79" i="5"/>
  <c r="E79" i="5"/>
  <c r="A79" i="5" s="1"/>
  <c r="B79" i="5"/>
  <c r="K78" i="5"/>
  <c r="E78" i="5"/>
  <c r="A78" i="5" s="1"/>
  <c r="B78" i="5"/>
  <c r="K77" i="5"/>
  <c r="E77" i="5"/>
  <c r="A77" i="5" s="1"/>
  <c r="B77" i="5"/>
  <c r="K76" i="5"/>
  <c r="E76" i="5"/>
  <c r="A76" i="5" s="1"/>
  <c r="B76" i="5"/>
  <c r="K75" i="5"/>
  <c r="E75" i="5"/>
  <c r="A75" i="5" s="1"/>
  <c r="B75" i="5"/>
  <c r="K74" i="5"/>
  <c r="E74" i="5"/>
  <c r="A74" i="5" s="1"/>
  <c r="B74" i="5"/>
  <c r="K73" i="5"/>
  <c r="E73" i="5"/>
  <c r="A73" i="5" s="1"/>
  <c r="B73" i="5"/>
  <c r="K72" i="5"/>
  <c r="E72" i="5"/>
  <c r="A72" i="5" s="1"/>
  <c r="B72" i="5"/>
  <c r="K71" i="5"/>
  <c r="E71" i="5"/>
  <c r="A71" i="5" s="1"/>
  <c r="B71" i="5"/>
  <c r="K70" i="5"/>
  <c r="E70" i="5"/>
  <c r="A70" i="5" s="1"/>
  <c r="B70" i="5"/>
  <c r="K69" i="5"/>
  <c r="E69" i="5"/>
  <c r="A69" i="5" s="1"/>
  <c r="B69" i="5"/>
  <c r="K68" i="5"/>
  <c r="E68" i="5"/>
  <c r="A68" i="5" s="1"/>
  <c r="B68" i="5"/>
  <c r="K67" i="5"/>
  <c r="E67" i="5"/>
  <c r="A67" i="5" s="1"/>
  <c r="B67" i="5"/>
  <c r="K66" i="5"/>
  <c r="E66" i="5"/>
  <c r="A66" i="5" s="1"/>
  <c r="B66" i="5"/>
  <c r="K65" i="5"/>
  <c r="E65" i="5"/>
  <c r="A65" i="5" s="1"/>
  <c r="B65" i="5"/>
  <c r="K64" i="5"/>
  <c r="E64" i="5"/>
  <c r="A64" i="5" s="1"/>
  <c r="B64" i="5"/>
  <c r="K63" i="5"/>
  <c r="E63" i="5"/>
  <c r="A63" i="5" s="1"/>
  <c r="B63" i="5"/>
  <c r="K62" i="5"/>
  <c r="E62" i="5"/>
  <c r="A62" i="5" s="1"/>
  <c r="B62" i="5"/>
  <c r="K61" i="5"/>
  <c r="E61" i="5"/>
  <c r="A61" i="5" s="1"/>
  <c r="B61" i="5"/>
  <c r="K60" i="5"/>
  <c r="E60" i="5"/>
  <c r="A60" i="5" s="1"/>
  <c r="B60" i="5"/>
  <c r="K59" i="5"/>
  <c r="E59" i="5"/>
  <c r="A59" i="5" s="1"/>
  <c r="B59" i="5"/>
  <c r="K58" i="5"/>
  <c r="E58" i="5"/>
  <c r="A58" i="5" s="1"/>
  <c r="B58" i="5"/>
  <c r="K57" i="5"/>
  <c r="E57" i="5"/>
  <c r="A57" i="5" s="1"/>
  <c r="B57" i="5"/>
  <c r="K56" i="5"/>
  <c r="E56" i="5"/>
  <c r="A56" i="5" s="1"/>
  <c r="B56" i="5"/>
  <c r="K55" i="5"/>
  <c r="E55" i="5"/>
  <c r="A55" i="5" s="1"/>
  <c r="B55" i="5"/>
  <c r="K54" i="5"/>
  <c r="E54" i="5"/>
  <c r="A54" i="5" s="1"/>
  <c r="B54" i="5"/>
  <c r="K53" i="5"/>
  <c r="E53" i="5"/>
  <c r="A53" i="5" s="1"/>
  <c r="B53" i="5"/>
  <c r="K52" i="5"/>
  <c r="E52" i="5"/>
  <c r="A52" i="5" s="1"/>
  <c r="B52" i="5"/>
  <c r="K51" i="5"/>
  <c r="E51" i="5"/>
  <c r="A51" i="5" s="1"/>
  <c r="B51" i="5"/>
  <c r="K50" i="5"/>
  <c r="E50" i="5"/>
  <c r="A50" i="5" s="1"/>
  <c r="B50" i="5"/>
  <c r="K49" i="5"/>
  <c r="E49" i="5"/>
  <c r="A49" i="5" s="1"/>
  <c r="B49" i="5"/>
  <c r="K48" i="5"/>
  <c r="E48" i="5"/>
  <c r="A48" i="5" s="1"/>
  <c r="B48" i="5"/>
  <c r="K47" i="5"/>
  <c r="E47" i="5"/>
  <c r="A47" i="5" s="1"/>
  <c r="B47" i="5"/>
  <c r="K46" i="5"/>
  <c r="E46" i="5"/>
  <c r="A46" i="5" s="1"/>
  <c r="B46" i="5"/>
  <c r="K45" i="5"/>
  <c r="E45" i="5"/>
  <c r="A45" i="5" s="1"/>
  <c r="B45" i="5"/>
  <c r="K44" i="5"/>
  <c r="E44" i="5"/>
  <c r="A44" i="5" s="1"/>
  <c r="B44" i="5"/>
  <c r="K43" i="5"/>
  <c r="E43" i="5"/>
  <c r="A43" i="5" s="1"/>
  <c r="B43" i="5"/>
  <c r="K42" i="5"/>
  <c r="E42" i="5"/>
  <c r="A42" i="5" s="1"/>
  <c r="B42" i="5"/>
  <c r="K41" i="5"/>
  <c r="E41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C9" i="5"/>
  <c r="B9" i="5"/>
  <c r="A9" i="5"/>
  <c r="C8" i="5"/>
  <c r="B8" i="5"/>
  <c r="A8" i="5"/>
  <c r="C7" i="5"/>
  <c r="B7" i="5"/>
  <c r="A7" i="5"/>
  <c r="C6" i="5"/>
  <c r="B6" i="5"/>
  <c r="A6" i="5"/>
  <c r="C5" i="5"/>
  <c r="B5" i="5"/>
  <c r="A5" i="5"/>
  <c r="C4" i="5"/>
  <c r="B4" i="5"/>
  <c r="K75" i="3"/>
  <c r="M75" i="3" s="1"/>
  <c r="K74" i="3"/>
  <c r="M74" i="3" s="1"/>
  <c r="K73" i="3"/>
  <c r="M73" i="3" s="1"/>
  <c r="K72" i="3"/>
  <c r="M72" i="3" s="1"/>
  <c r="K71" i="3"/>
  <c r="M71" i="3" s="1"/>
  <c r="K70" i="3"/>
  <c r="M70" i="3" s="1"/>
  <c r="K69" i="3"/>
  <c r="M69" i="3" s="1"/>
  <c r="K68" i="3"/>
  <c r="M68" i="3" s="1"/>
  <c r="K67" i="3"/>
  <c r="M67" i="3" s="1"/>
  <c r="K66" i="3"/>
  <c r="M66" i="3" s="1"/>
  <c r="K65" i="3"/>
  <c r="M65" i="3" s="1"/>
  <c r="K64" i="3"/>
  <c r="M64" i="3" s="1"/>
  <c r="K63" i="3"/>
  <c r="M63" i="3" s="1"/>
  <c r="K62" i="3"/>
  <c r="M62" i="3" s="1"/>
  <c r="K61" i="3"/>
  <c r="M61" i="3" s="1"/>
  <c r="K60" i="3"/>
  <c r="M60" i="3" s="1"/>
  <c r="K59" i="3"/>
  <c r="M59" i="3" s="1"/>
  <c r="K58" i="3"/>
  <c r="M58" i="3" s="1"/>
  <c r="K57" i="3"/>
  <c r="M57" i="3" s="1"/>
  <c r="K56" i="3"/>
  <c r="M56" i="3" s="1"/>
  <c r="K49" i="3"/>
  <c r="M49" i="3" s="1"/>
  <c r="K55" i="3"/>
  <c r="M55" i="3" s="1"/>
  <c r="K54" i="3"/>
  <c r="M54" i="3" s="1"/>
  <c r="K53" i="3"/>
  <c r="M53" i="3" s="1"/>
  <c r="K52" i="3"/>
  <c r="M52" i="3" s="1"/>
  <c r="K51" i="3"/>
  <c r="M51" i="3" s="1"/>
  <c r="K50" i="3"/>
  <c r="M50" i="3" s="1"/>
  <c r="K48" i="3"/>
  <c r="M48" i="3" s="1"/>
  <c r="K47" i="3"/>
  <c r="M47" i="3" s="1"/>
  <c r="K43" i="3"/>
  <c r="M43" i="3" s="1"/>
  <c r="W18" i="3"/>
  <c r="U18" i="3"/>
  <c r="S18" i="3"/>
  <c r="R18" i="3"/>
  <c r="X13" i="3" s="1"/>
  <c r="K9" i="3"/>
  <c r="M9" i="3" s="1"/>
  <c r="J40" i="5" l="1"/>
  <c r="J13" i="5"/>
  <c r="P13" i="5" s="1"/>
  <c r="J21" i="5"/>
  <c r="P21" i="5" s="1"/>
  <c r="J29" i="5"/>
  <c r="P29" i="5" s="1"/>
  <c r="J37" i="5"/>
  <c r="P37" i="5" s="1"/>
  <c r="J14" i="5"/>
  <c r="P14" i="5" s="1"/>
  <c r="J22" i="5"/>
  <c r="P22" i="5" s="1"/>
  <c r="J30" i="5"/>
  <c r="P30" i="5" s="1"/>
  <c r="J38" i="5"/>
  <c r="P38" i="5" s="1"/>
  <c r="J23" i="5"/>
  <c r="P23" i="5" s="1"/>
  <c r="J39" i="5"/>
  <c r="P39" i="5" s="1"/>
  <c r="J19" i="5"/>
  <c r="P19" i="5" s="1"/>
  <c r="J36" i="5"/>
  <c r="P36" i="5" s="1"/>
  <c r="J35" i="5"/>
  <c r="P35" i="5" s="1"/>
  <c r="J20" i="5"/>
  <c r="P20" i="5" s="1"/>
  <c r="J15" i="5"/>
  <c r="P15" i="5" s="1"/>
  <c r="J31" i="5"/>
  <c r="P31" i="5" s="1"/>
  <c r="J12" i="5"/>
  <c r="P12" i="5" s="1"/>
  <c r="J16" i="5"/>
  <c r="P16" i="5" s="1"/>
  <c r="J24" i="5"/>
  <c r="P24" i="5" s="1"/>
  <c r="J32" i="5"/>
  <c r="P32" i="5" s="1"/>
  <c r="P40" i="5"/>
  <c r="J17" i="5"/>
  <c r="P17" i="5" s="1"/>
  <c r="J25" i="5"/>
  <c r="P25" i="5" s="1"/>
  <c r="J33" i="5"/>
  <c r="P33" i="5" s="1"/>
  <c r="J10" i="5"/>
  <c r="P10" i="5" s="1"/>
  <c r="J18" i="5"/>
  <c r="P18" i="5" s="1"/>
  <c r="J26" i="5"/>
  <c r="P26" i="5" s="1"/>
  <c r="J34" i="5"/>
  <c r="P34" i="5" s="1"/>
  <c r="J11" i="5"/>
  <c r="P11" i="5" s="1"/>
  <c r="J27" i="5"/>
  <c r="P27" i="5" s="1"/>
  <c r="J28" i="5"/>
  <c r="P28" i="5" s="1"/>
  <c r="A41" i="5"/>
  <c r="C17" i="5"/>
  <c r="C14" i="5"/>
  <c r="C20" i="5"/>
  <c r="C28" i="5"/>
  <c r="C32" i="5"/>
  <c r="C36" i="5"/>
  <c r="C40" i="5"/>
  <c r="C29" i="5"/>
  <c r="C21" i="5"/>
  <c r="C25" i="5"/>
  <c r="C33" i="5"/>
  <c r="C19" i="5"/>
  <c r="C22" i="5"/>
  <c r="C30" i="5"/>
  <c r="C16" i="5"/>
  <c r="C23" i="5"/>
  <c r="C35" i="5"/>
  <c r="T14" i="3"/>
  <c r="V14" i="3"/>
  <c r="T18" i="3"/>
  <c r="X18" i="3"/>
  <c r="V18" i="3"/>
  <c r="T12" i="3"/>
  <c r="V16" i="3"/>
  <c r="X16" i="3"/>
  <c r="T17" i="3"/>
  <c r="T15" i="3"/>
  <c r="T13" i="3"/>
  <c r="T16" i="3"/>
  <c r="C12" i="5"/>
  <c r="C15" i="5"/>
  <c r="C38" i="5"/>
  <c r="C24" i="5"/>
  <c r="C27" i="5"/>
  <c r="C39" i="5"/>
  <c r="C13" i="5"/>
  <c r="V15" i="3"/>
  <c r="X17" i="3"/>
  <c r="C34" i="5"/>
  <c r="C26" i="5"/>
  <c r="C18" i="5"/>
  <c r="C10" i="5"/>
  <c r="C31" i="5"/>
  <c r="V12" i="3"/>
  <c r="X14" i="3"/>
  <c r="X12" i="3"/>
  <c r="V17" i="3"/>
  <c r="K76" i="3"/>
  <c r="V13" i="3"/>
  <c r="X15" i="3"/>
  <c r="C11" i="5"/>
  <c r="C37" i="5"/>
  <c r="P146" i="5" l="1"/>
  <c r="P147" i="5"/>
  <c r="P148" i="5"/>
  <c r="P143" i="5"/>
  <c r="P144" i="5"/>
  <c r="P145" i="5"/>
  <c r="P82" i="5"/>
  <c r="P90" i="5"/>
  <c r="P98" i="5"/>
  <c r="P106" i="5"/>
  <c r="P83" i="5"/>
  <c r="P91" i="5"/>
  <c r="P99" i="5"/>
  <c r="P107" i="5"/>
  <c r="P84" i="5"/>
  <c r="P92" i="5"/>
  <c r="P100" i="5"/>
  <c r="P85" i="5"/>
  <c r="P93" i="5"/>
  <c r="P101" i="5"/>
  <c r="P86" i="5"/>
  <c r="P94" i="5"/>
  <c r="P102" i="5"/>
  <c r="P87" i="5"/>
  <c r="P95" i="5"/>
  <c r="P103" i="5"/>
  <c r="P88" i="5"/>
  <c r="P96" i="5"/>
  <c r="P104" i="5"/>
  <c r="P89" i="5"/>
  <c r="P97" i="5"/>
  <c r="P105" i="5"/>
  <c r="P322" i="5"/>
  <c r="P330" i="5"/>
  <c r="P323" i="5"/>
  <c r="P331" i="5"/>
  <c r="P324" i="5"/>
  <c r="P325" i="5"/>
  <c r="P318" i="5"/>
  <c r="P326" i="5"/>
  <c r="P319" i="5"/>
  <c r="P327" i="5"/>
  <c r="P320" i="5"/>
  <c r="P328" i="5"/>
  <c r="P321" i="5"/>
  <c r="P329" i="5"/>
  <c r="P266" i="5"/>
  <c r="P274" i="5"/>
  <c r="P282" i="5"/>
  <c r="P290" i="5"/>
  <c r="P277" i="5"/>
  <c r="P267" i="5"/>
  <c r="P275" i="5"/>
  <c r="P283" i="5"/>
  <c r="P285" i="5"/>
  <c r="P260" i="5"/>
  <c r="P268" i="5"/>
  <c r="P276" i="5"/>
  <c r="P284" i="5"/>
  <c r="P261" i="5"/>
  <c r="P269" i="5"/>
  <c r="P262" i="5"/>
  <c r="P270" i="5"/>
  <c r="P278" i="5"/>
  <c r="P286" i="5"/>
  <c r="P263" i="5"/>
  <c r="P271" i="5"/>
  <c r="P279" i="5"/>
  <c r="P287" i="5"/>
  <c r="P264" i="5"/>
  <c r="P272" i="5"/>
  <c r="P280" i="5"/>
  <c r="P288" i="5"/>
  <c r="P265" i="5"/>
  <c r="P273" i="5"/>
  <c r="P281" i="5"/>
  <c r="P289" i="5"/>
  <c r="P386" i="5"/>
  <c r="P394" i="5"/>
  <c r="P389" i="5"/>
  <c r="P387" i="5"/>
  <c r="P395" i="5"/>
  <c r="P388" i="5"/>
  <c r="P396" i="5"/>
  <c r="P390" i="5"/>
  <c r="P397" i="5"/>
  <c r="P383" i="5"/>
  <c r="P391" i="5"/>
  <c r="P384" i="5"/>
  <c r="P392" i="5"/>
  <c r="P385" i="5"/>
  <c r="P393" i="5"/>
  <c r="P154" i="5"/>
  <c r="P155" i="5"/>
  <c r="P156" i="5"/>
  <c r="P149" i="5"/>
  <c r="P150" i="5"/>
  <c r="P151" i="5"/>
  <c r="P152" i="5"/>
  <c r="P153" i="5"/>
  <c r="P170" i="5"/>
  <c r="P171" i="5"/>
  <c r="P172" i="5"/>
  <c r="P173" i="5"/>
  <c r="P166" i="5"/>
  <c r="P174" i="5"/>
  <c r="P167" i="5"/>
  <c r="P175" i="5"/>
  <c r="P168" i="5"/>
  <c r="P176" i="5"/>
  <c r="P169" i="5"/>
  <c r="P177" i="5"/>
  <c r="P162" i="5"/>
  <c r="P163" i="5"/>
  <c r="P164" i="5"/>
  <c r="P157" i="5"/>
  <c r="P165" i="5"/>
  <c r="P158" i="5"/>
  <c r="P159" i="5"/>
  <c r="P160" i="5"/>
  <c r="P161" i="5"/>
  <c r="P370" i="5"/>
  <c r="P365" i="5"/>
  <c r="P363" i="5"/>
  <c r="P371" i="5"/>
  <c r="P364" i="5"/>
  <c r="P372" i="5"/>
  <c r="P366" i="5"/>
  <c r="P367" i="5"/>
  <c r="P368" i="5"/>
  <c r="P369" i="5"/>
  <c r="P378" i="5"/>
  <c r="P379" i="5"/>
  <c r="P373" i="5"/>
  <c r="P374" i="5"/>
  <c r="P380" i="5"/>
  <c r="P381" i="5"/>
  <c r="P382" i="5"/>
  <c r="P375" i="5"/>
  <c r="P376" i="5"/>
  <c r="P377" i="5"/>
  <c r="P226" i="5"/>
  <c r="P234" i="5"/>
  <c r="P219" i="5"/>
  <c r="P227" i="5"/>
  <c r="P235" i="5"/>
  <c r="P220" i="5"/>
  <c r="P228" i="5"/>
  <c r="P236" i="5"/>
  <c r="P221" i="5"/>
  <c r="P229" i="5"/>
  <c r="P222" i="5"/>
  <c r="P230" i="5"/>
  <c r="P223" i="5"/>
  <c r="P231" i="5"/>
  <c r="P224" i="5"/>
  <c r="P232" i="5"/>
  <c r="P225" i="5"/>
  <c r="P233" i="5"/>
  <c r="P114" i="5"/>
  <c r="P122" i="5"/>
  <c r="P115" i="5"/>
  <c r="P123" i="5"/>
  <c r="P108" i="5"/>
  <c r="P116" i="5"/>
  <c r="P124" i="5"/>
  <c r="P109" i="5"/>
  <c r="P117" i="5"/>
  <c r="P125" i="5"/>
  <c r="P110" i="5"/>
  <c r="P118" i="5"/>
  <c r="P126" i="5"/>
  <c r="P111" i="5"/>
  <c r="P119" i="5"/>
  <c r="P127" i="5"/>
  <c r="P112" i="5"/>
  <c r="P120" i="5"/>
  <c r="P113" i="5"/>
  <c r="P121" i="5"/>
  <c r="P178" i="5"/>
  <c r="P186" i="5"/>
  <c r="P179" i="5"/>
  <c r="P187" i="5"/>
  <c r="P180" i="5"/>
  <c r="P188" i="5"/>
  <c r="P181" i="5"/>
  <c r="P189" i="5"/>
  <c r="P182" i="5"/>
  <c r="P183" i="5"/>
  <c r="P184" i="5"/>
  <c r="P185" i="5"/>
  <c r="P237" i="5"/>
  <c r="P238" i="5"/>
  <c r="P239" i="5"/>
  <c r="P240" i="5"/>
  <c r="P242" i="5"/>
  <c r="P250" i="5"/>
  <c r="P258" i="5"/>
  <c r="P253" i="5"/>
  <c r="P243" i="5"/>
  <c r="P251" i="5"/>
  <c r="P259" i="5"/>
  <c r="P245" i="5"/>
  <c r="P244" i="5"/>
  <c r="P252" i="5"/>
  <c r="P246" i="5"/>
  <c r="P254" i="5"/>
  <c r="P247" i="5"/>
  <c r="P255" i="5"/>
  <c r="P248" i="5"/>
  <c r="P256" i="5"/>
  <c r="P241" i="5"/>
  <c r="P249" i="5"/>
  <c r="P257" i="5"/>
  <c r="P418" i="5"/>
  <c r="P426" i="5"/>
  <c r="P421" i="5"/>
  <c r="P422" i="5"/>
  <c r="P416" i="5"/>
  <c r="P419" i="5"/>
  <c r="P427" i="5"/>
  <c r="P412" i="5"/>
  <c r="P420" i="5"/>
  <c r="P428" i="5"/>
  <c r="P413" i="5"/>
  <c r="P429" i="5"/>
  <c r="P414" i="5"/>
  <c r="P415" i="5"/>
  <c r="P423" i="5"/>
  <c r="P424" i="5"/>
  <c r="P430" i="5"/>
  <c r="P431" i="5"/>
  <c r="P432" i="5"/>
  <c r="P417" i="5"/>
  <c r="P425" i="5"/>
  <c r="P433" i="5"/>
  <c r="P354" i="5"/>
  <c r="P362" i="5"/>
  <c r="P350" i="5"/>
  <c r="P355" i="5"/>
  <c r="P356" i="5"/>
  <c r="P358" i="5"/>
  <c r="P357" i="5"/>
  <c r="P351" i="5"/>
  <c r="P359" i="5"/>
  <c r="P352" i="5"/>
  <c r="P360" i="5"/>
  <c r="P353" i="5"/>
  <c r="P361" i="5"/>
  <c r="P298" i="5"/>
  <c r="P306" i="5"/>
  <c r="P309" i="5"/>
  <c r="P291" i="5"/>
  <c r="P299" i="5"/>
  <c r="P307" i="5"/>
  <c r="P292" i="5"/>
  <c r="P300" i="5"/>
  <c r="P308" i="5"/>
  <c r="P293" i="5"/>
  <c r="P301" i="5"/>
  <c r="P294" i="5"/>
  <c r="P302" i="5"/>
  <c r="P310" i="5"/>
  <c r="P295" i="5"/>
  <c r="P303" i="5"/>
  <c r="P311" i="5"/>
  <c r="P296" i="5"/>
  <c r="P304" i="5"/>
  <c r="P312" i="5"/>
  <c r="P297" i="5"/>
  <c r="P305" i="5"/>
  <c r="P58" i="5"/>
  <c r="P66" i="5"/>
  <c r="P51" i="5"/>
  <c r="P59" i="5"/>
  <c r="P67" i="5"/>
  <c r="P52" i="5"/>
  <c r="P60" i="5"/>
  <c r="P68" i="5"/>
  <c r="P53" i="5"/>
  <c r="P61" i="5"/>
  <c r="P69" i="5"/>
  <c r="P54" i="5"/>
  <c r="P62" i="5"/>
  <c r="P70" i="5"/>
  <c r="P55" i="5"/>
  <c r="P63" i="5"/>
  <c r="P56" i="5"/>
  <c r="P64" i="5"/>
  <c r="P57" i="5"/>
  <c r="P65" i="5"/>
  <c r="P338" i="5"/>
  <c r="P346" i="5"/>
  <c r="P341" i="5"/>
  <c r="P339" i="5"/>
  <c r="P347" i="5"/>
  <c r="P333" i="5"/>
  <c r="P342" i="5"/>
  <c r="P332" i="5"/>
  <c r="P340" i="5"/>
  <c r="P348" i="5"/>
  <c r="P349" i="5"/>
  <c r="P334" i="5"/>
  <c r="P335" i="5"/>
  <c r="P343" i="5"/>
  <c r="P336" i="5"/>
  <c r="P344" i="5"/>
  <c r="P337" i="5"/>
  <c r="P345" i="5"/>
  <c r="P74" i="5"/>
  <c r="P75" i="5"/>
  <c r="P76" i="5"/>
  <c r="P77" i="5"/>
  <c r="P78" i="5"/>
  <c r="P71" i="5"/>
  <c r="P79" i="5"/>
  <c r="P72" i="5"/>
  <c r="P80" i="5"/>
  <c r="P73" i="5"/>
  <c r="P81" i="5"/>
  <c r="P130" i="5"/>
  <c r="P138" i="5"/>
  <c r="P131" i="5"/>
  <c r="P139" i="5"/>
  <c r="P132" i="5"/>
  <c r="P140" i="5"/>
  <c r="P133" i="5"/>
  <c r="P141" i="5"/>
  <c r="P134" i="5"/>
  <c r="P142" i="5"/>
  <c r="P135" i="5"/>
  <c r="P128" i="5"/>
  <c r="P136" i="5"/>
  <c r="P129" i="5"/>
  <c r="P137" i="5"/>
  <c r="P434" i="5"/>
  <c r="P442" i="5"/>
  <c r="P435" i="5"/>
  <c r="P443" i="5"/>
  <c r="P437" i="5"/>
  <c r="P438" i="5"/>
  <c r="P436" i="5"/>
  <c r="P444" i="5"/>
  <c r="P446" i="5"/>
  <c r="P440" i="5"/>
  <c r="P445" i="5"/>
  <c r="P439" i="5"/>
  <c r="P441" i="5"/>
  <c r="P41" i="5"/>
  <c r="P42" i="5"/>
  <c r="P50" i="5"/>
  <c r="P43" i="5"/>
  <c r="P44" i="5"/>
  <c r="P45" i="5"/>
  <c r="P46" i="5"/>
  <c r="P47" i="5"/>
  <c r="P48" i="5"/>
  <c r="P49" i="5"/>
  <c r="P194" i="5"/>
  <c r="P202" i="5"/>
  <c r="P210" i="5"/>
  <c r="P218" i="5"/>
  <c r="P195" i="5"/>
  <c r="P203" i="5"/>
  <c r="P211" i="5"/>
  <c r="P196" i="5"/>
  <c r="P204" i="5"/>
  <c r="P212" i="5"/>
  <c r="P197" i="5"/>
  <c r="P205" i="5"/>
  <c r="P213" i="5"/>
  <c r="P190" i="5"/>
  <c r="P198" i="5"/>
  <c r="P206" i="5"/>
  <c r="P214" i="5"/>
  <c r="P191" i="5"/>
  <c r="P199" i="5"/>
  <c r="P207" i="5"/>
  <c r="P215" i="5"/>
  <c r="P192" i="5"/>
  <c r="P200" i="5"/>
  <c r="P208" i="5"/>
  <c r="P216" i="5"/>
  <c r="P193" i="5"/>
  <c r="P201" i="5"/>
  <c r="P209" i="5"/>
  <c r="P217" i="5"/>
  <c r="P314" i="5"/>
  <c r="P315" i="5"/>
  <c r="P317" i="5"/>
  <c r="P316" i="5"/>
  <c r="P313" i="5"/>
  <c r="P402" i="5"/>
  <c r="P410" i="5"/>
  <c r="P398" i="5"/>
  <c r="P407" i="5"/>
  <c r="P403" i="5"/>
  <c r="P411" i="5"/>
  <c r="P405" i="5"/>
  <c r="P406" i="5"/>
  <c r="P399" i="5"/>
  <c r="P404" i="5"/>
  <c r="P400" i="5"/>
  <c r="P408" i="5"/>
  <c r="P401" i="5"/>
  <c r="P409" i="5"/>
  <c r="P450" i="5"/>
  <c r="P453" i="5"/>
  <c r="P454" i="5"/>
  <c r="P451" i="5"/>
  <c r="P447" i="5"/>
  <c r="P448" i="5"/>
  <c r="P452" i="5"/>
  <c r="P455" i="5"/>
  <c r="P456" i="5"/>
  <c r="P44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M7" authorId="0" shapeId="0" xr:uid="{85B70BB7-8012-034C-ADF9-03D8A2F47EBF}">
      <text>
        <r>
          <rPr>
            <b/>
            <sz val="10"/>
            <color rgb="FF000000"/>
            <rFont val="Microsoft YaHei UI"/>
            <family val="2"/>
            <charset val="134"/>
          </rPr>
          <t>Microsoft Office User: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26</t>
        </r>
        <r>
          <rPr>
            <sz val="10"/>
            <color rgb="FF000000"/>
            <rFont val="Microsoft YaHei UI"/>
            <family val="2"/>
            <charset val="134"/>
          </rPr>
          <t>年</t>
        </r>
        <r>
          <rPr>
            <sz val="10"/>
            <color rgb="FF000000"/>
            <rFont val="Microsoft YaHei UI"/>
            <family val="2"/>
            <charset val="134"/>
          </rPr>
          <t>Q4</t>
        </r>
        <r>
          <rPr>
            <sz val="10"/>
            <color rgb="FF000000"/>
            <rFont val="Microsoft YaHei UI"/>
            <family val="2"/>
            <charset val="134"/>
          </rPr>
          <t>季度调整</t>
        </r>
      </text>
    </comment>
    <comment ref="M8" authorId="0" shapeId="0" xr:uid="{DE9145A2-6D90-5448-AC0E-9CD85C678CB3}">
      <text>
        <r>
          <rPr>
            <b/>
            <sz val="10"/>
            <color rgb="FF000000"/>
            <rFont val="Microsoft YaHei UI"/>
            <family val="2"/>
            <charset val="134"/>
          </rPr>
          <t>Microsoft Office User: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26</t>
        </r>
        <r>
          <rPr>
            <sz val="10"/>
            <color rgb="FF000000"/>
            <rFont val="Microsoft YaHei UI"/>
            <family val="2"/>
            <charset val="134"/>
          </rPr>
          <t>年</t>
        </r>
        <r>
          <rPr>
            <sz val="10"/>
            <color rgb="FF000000"/>
            <rFont val="Microsoft YaHei UI"/>
            <family val="2"/>
            <charset val="134"/>
          </rPr>
          <t>Q4</t>
        </r>
        <r>
          <rPr>
            <sz val="10"/>
            <color rgb="FF000000"/>
            <rFont val="Microsoft YaHei UI"/>
            <family val="2"/>
            <charset val="134"/>
          </rPr>
          <t>季度调整</t>
        </r>
      </text>
    </comment>
  </commentList>
</comments>
</file>

<file path=xl/sharedStrings.xml><?xml version="1.0" encoding="utf-8"?>
<sst xmlns="http://schemas.openxmlformats.org/spreadsheetml/2006/main" count="6088" uniqueCount="769">
  <si>
    <t>产品组</t>
  </si>
  <si>
    <t>大区</t>
  </si>
  <si>
    <t>省区</t>
  </si>
  <si>
    <t>营业所</t>
  </si>
  <si>
    <t>是否
启动</t>
  </si>
  <si>
    <t>负责人</t>
  </si>
  <si>
    <t>岗位</t>
  </si>
  <si>
    <t>26-Q2季度目标
（按组织+人拆分）</t>
  </si>
  <si>
    <t>26-Q2季度目标
（按人拆分）</t>
  </si>
  <si>
    <t>标箱组</t>
  </si>
  <si>
    <t>华东区</t>
  </si>
  <si>
    <t>是</t>
  </si>
  <si>
    <t>空岗</t>
  </si>
  <si>
    <t>大区总监</t>
  </si>
  <si>
    <t>华南区</t>
  </si>
  <si>
    <t>华中区</t>
  </si>
  <si>
    <t>东北区</t>
  </si>
  <si>
    <t>华北区</t>
  </si>
  <si>
    <t>西南区</t>
  </si>
  <si>
    <t>全国</t>
  </si>
  <si>
    <t>张霞麦</t>
  </si>
  <si>
    <t>总督导</t>
  </si>
  <si>
    <t>省总人数</t>
  </si>
  <si>
    <t>目标增长
&lt;50%</t>
  </si>
  <si>
    <t>增长占比</t>
  </si>
  <si>
    <t>目标增长
50%x&lt;80%</t>
  </si>
  <si>
    <t>目标增长
&gt;80%</t>
  </si>
  <si>
    <t>上海市</t>
  </si>
  <si>
    <t>否</t>
  </si>
  <si>
    <t>省区总监</t>
  </si>
  <si>
    <t>安徽省</t>
  </si>
  <si>
    <t>李杨帆</t>
  </si>
  <si>
    <t>江苏省</t>
  </si>
  <si>
    <t>浙江省</t>
  </si>
  <si>
    <t>江西省</t>
  </si>
  <si>
    <t>山东省</t>
  </si>
  <si>
    <t>李宏权</t>
  </si>
  <si>
    <t>广东省</t>
  </si>
  <si>
    <t>海南省</t>
  </si>
  <si>
    <t>广西壮族自治区</t>
  </si>
  <si>
    <t>福建省</t>
  </si>
  <si>
    <t>湖南省</t>
  </si>
  <si>
    <t>向林</t>
  </si>
  <si>
    <t>湖北省</t>
  </si>
  <si>
    <t>河南省</t>
  </si>
  <si>
    <t>朱大伟</t>
  </si>
  <si>
    <t>辽宁省</t>
  </si>
  <si>
    <t>李春颜</t>
  </si>
  <si>
    <t>吉林省</t>
  </si>
  <si>
    <t>黑龙江省</t>
  </si>
  <si>
    <t>曾祥海</t>
  </si>
  <si>
    <t>北京市</t>
  </si>
  <si>
    <t>天津市</t>
  </si>
  <si>
    <t>张德森</t>
  </si>
  <si>
    <t>河北省</t>
  </si>
  <si>
    <t>尚保刚</t>
  </si>
  <si>
    <t>山西省</t>
  </si>
  <si>
    <t>王勇</t>
  </si>
  <si>
    <t>内蒙古自治区</t>
  </si>
  <si>
    <t>重庆市</t>
  </si>
  <si>
    <t>马凡平</t>
  </si>
  <si>
    <t>四川省</t>
  </si>
  <si>
    <t>瞿慧</t>
  </si>
  <si>
    <t>云南省</t>
  </si>
  <si>
    <t>贵州省</t>
  </si>
  <si>
    <t>陕西省</t>
  </si>
  <si>
    <t>甘肃省</t>
  </si>
  <si>
    <t>西藏自治区</t>
  </si>
  <si>
    <t>宁夏回族自治区</t>
  </si>
  <si>
    <t>青海省</t>
  </si>
  <si>
    <t>新疆维吾尔自治区</t>
  </si>
  <si>
    <t>合肥所</t>
  </si>
  <si>
    <t>朱成风</t>
  </si>
  <si>
    <t>区域经理</t>
  </si>
  <si>
    <t>泰安所</t>
  </si>
  <si>
    <t>曹正存</t>
  </si>
  <si>
    <t>大东所</t>
  </si>
  <si>
    <t>董绍峰</t>
  </si>
  <si>
    <t>通辽所</t>
  </si>
  <si>
    <t>卢鑫宇</t>
  </si>
  <si>
    <t>赤峰所</t>
  </si>
  <si>
    <t>高洪雁</t>
  </si>
  <si>
    <t>金州所</t>
  </si>
  <si>
    <t>邹沛梓</t>
  </si>
  <si>
    <t>锦州所</t>
  </si>
  <si>
    <t>孟伟</t>
  </si>
  <si>
    <t>鞍山所</t>
  </si>
  <si>
    <t>姜文章</t>
  </si>
  <si>
    <t>哈尔滨西所</t>
  </si>
  <si>
    <t>郭峰</t>
  </si>
  <si>
    <t>安阳所</t>
  </si>
  <si>
    <t>王志宾</t>
  </si>
  <si>
    <t>周口所</t>
  </si>
  <si>
    <t>胡鹏</t>
  </si>
  <si>
    <t>商丘所</t>
  </si>
  <si>
    <t>王夏冰</t>
  </si>
  <si>
    <t>尉氏所</t>
  </si>
  <si>
    <t>胡丹</t>
  </si>
  <si>
    <t>洛阳所</t>
  </si>
  <si>
    <t>张腾飞</t>
  </si>
  <si>
    <t>郑州所</t>
  </si>
  <si>
    <t>王冬利</t>
  </si>
  <si>
    <t>金水所</t>
  </si>
  <si>
    <t>翟宇昆</t>
  </si>
  <si>
    <t>南阳所</t>
  </si>
  <si>
    <t>王鸿基</t>
  </si>
  <si>
    <t>驻马店所</t>
  </si>
  <si>
    <t>马卫华</t>
  </si>
  <si>
    <t>衡阳所</t>
  </si>
  <si>
    <t>封旭</t>
  </si>
  <si>
    <t>邵阳所</t>
  </si>
  <si>
    <t>付艳青</t>
  </si>
  <si>
    <t>岳阳所</t>
  </si>
  <si>
    <t>黄辉敏</t>
  </si>
  <si>
    <t>长沙东所</t>
  </si>
  <si>
    <t>戴湘钢</t>
  </si>
  <si>
    <t>武清所</t>
  </si>
  <si>
    <t>罗建昭</t>
  </si>
  <si>
    <t>遵化所</t>
  </si>
  <si>
    <t>李洋</t>
  </si>
  <si>
    <t>衡水所</t>
  </si>
  <si>
    <t>张大兵</t>
  </si>
  <si>
    <t>高碑店所</t>
  </si>
  <si>
    <t>郭磊光</t>
  </si>
  <si>
    <t>临沧所</t>
  </si>
  <si>
    <t>赵飞</t>
  </si>
  <si>
    <t>广元所</t>
  </si>
  <si>
    <t>梁慧</t>
  </si>
  <si>
    <t>黔江所</t>
  </si>
  <si>
    <t>张豪</t>
  </si>
  <si>
    <t>省区名称</t>
  </si>
  <si>
    <t>分公司名称</t>
  </si>
  <si>
    <t>营业所名称</t>
  </si>
  <si>
    <t>无上级 营业所最低目标设置</t>
  </si>
  <si>
    <t>儿童乳品组</t>
  </si>
  <si>
    <t>旺旺乳品组</t>
  </si>
  <si>
    <t>糖果组</t>
  </si>
  <si>
    <t>哈尔滨分</t>
  </si>
  <si>
    <t>大庆所</t>
  </si>
  <si>
    <t>哈尔滨东所</t>
  </si>
  <si>
    <t>黑河所</t>
  </si>
  <si>
    <t>呼伦贝尔所</t>
  </si>
  <si>
    <t>鸡西所</t>
  </si>
  <si>
    <t>佳木斯所</t>
  </si>
  <si>
    <t>牡丹江所</t>
  </si>
  <si>
    <t>齐齐哈尔所</t>
  </si>
  <si>
    <t>双鸭山所</t>
  </si>
  <si>
    <t>绥化所</t>
  </si>
  <si>
    <t>长春分</t>
  </si>
  <si>
    <t>白城所</t>
  </si>
  <si>
    <t>白山所</t>
  </si>
  <si>
    <t>吉林所</t>
  </si>
  <si>
    <t>四平所</t>
  </si>
  <si>
    <t>松原所</t>
  </si>
  <si>
    <t>通化所</t>
  </si>
  <si>
    <t>兴安盟所</t>
  </si>
  <si>
    <t>延边所</t>
  </si>
  <si>
    <t>长春东所</t>
  </si>
  <si>
    <t>长春西所</t>
  </si>
  <si>
    <t>沈阳分</t>
  </si>
  <si>
    <t>本溪所</t>
  </si>
  <si>
    <t>丹东所</t>
  </si>
  <si>
    <t>抚顺所</t>
  </si>
  <si>
    <t>和平所</t>
  </si>
  <si>
    <t>辽阳所</t>
  </si>
  <si>
    <t>沈河所</t>
  </si>
  <si>
    <t>沈阳所</t>
  </si>
  <si>
    <t>铁岭所</t>
  </si>
  <si>
    <t>营口分</t>
  </si>
  <si>
    <t>朝阳所</t>
  </si>
  <si>
    <t>大连所</t>
  </si>
  <si>
    <t>阜新所</t>
  </si>
  <si>
    <t>葫芦岛所</t>
  </si>
  <si>
    <t>盘锦所</t>
  </si>
  <si>
    <t>营口所</t>
  </si>
  <si>
    <t>滨海区</t>
  </si>
  <si>
    <t>北京分</t>
  </si>
  <si>
    <t>昌平所</t>
  </si>
  <si>
    <t>朝阳南所</t>
  </si>
  <si>
    <t>承德所</t>
  </si>
  <si>
    <t>丰台所</t>
  </si>
  <si>
    <t>海淀所</t>
  </si>
  <si>
    <t>顺义所</t>
  </si>
  <si>
    <t>宣化所</t>
  </si>
  <si>
    <t>张家口所</t>
  </si>
  <si>
    <t>保定分</t>
  </si>
  <si>
    <t>保定所</t>
  </si>
  <si>
    <t>沧州所</t>
  </si>
  <si>
    <t>定州所</t>
  </si>
  <si>
    <t>河间所</t>
  </si>
  <si>
    <t>石家庄分</t>
  </si>
  <si>
    <t>邯郸东所</t>
  </si>
  <si>
    <t>邯郸西所</t>
  </si>
  <si>
    <t>宁晋所</t>
  </si>
  <si>
    <t>石家庄东所</t>
  </si>
  <si>
    <t>石家庄西所</t>
  </si>
  <si>
    <t>邢台所</t>
  </si>
  <si>
    <t>包头分</t>
  </si>
  <si>
    <t>巴彦淖尔所</t>
  </si>
  <si>
    <t>包头所</t>
  </si>
  <si>
    <t>鄂尔多斯所</t>
  </si>
  <si>
    <t>呼和浩特所</t>
  </si>
  <si>
    <t>乌兰察布所</t>
  </si>
  <si>
    <t>银川所</t>
  </si>
  <si>
    <t>太原分</t>
  </si>
  <si>
    <t>大同所</t>
  </si>
  <si>
    <t>晋城所</t>
  </si>
  <si>
    <t>晋中所</t>
  </si>
  <si>
    <t>临汾所</t>
  </si>
  <si>
    <t>吕梁所</t>
  </si>
  <si>
    <t>朔州所</t>
  </si>
  <si>
    <t>太原所</t>
  </si>
  <si>
    <t>万荣所</t>
  </si>
  <si>
    <t>忻州所</t>
  </si>
  <si>
    <t>阳泉所</t>
  </si>
  <si>
    <t>运城所</t>
  </si>
  <si>
    <t>长治所</t>
  </si>
  <si>
    <t>天津分</t>
  </si>
  <si>
    <t>霸州所</t>
  </si>
  <si>
    <t>丰南所</t>
  </si>
  <si>
    <t>河西所</t>
  </si>
  <si>
    <t>廊坊所</t>
  </si>
  <si>
    <t>秦皇岛所</t>
  </si>
  <si>
    <t>唐山所</t>
  </si>
  <si>
    <t>塘沽所</t>
  </si>
  <si>
    <t>广州分</t>
  </si>
  <si>
    <t>白云所</t>
  </si>
  <si>
    <t>番禺所</t>
  </si>
  <si>
    <t>清远所</t>
  </si>
  <si>
    <t>韶关所</t>
  </si>
  <si>
    <t>天河所</t>
  </si>
  <si>
    <t>越秀所</t>
  </si>
  <si>
    <t>肇庆所</t>
  </si>
  <si>
    <t>汕头分</t>
  </si>
  <si>
    <t>潮阳所</t>
  </si>
  <si>
    <t>潮州所</t>
  </si>
  <si>
    <t>河源所</t>
  </si>
  <si>
    <t>揭阳所</t>
  </si>
  <si>
    <t>梅州所</t>
  </si>
  <si>
    <t>汕头所</t>
  </si>
  <si>
    <t>汕尾所</t>
  </si>
  <si>
    <t>深圳分</t>
  </si>
  <si>
    <t>莞城所</t>
  </si>
  <si>
    <t>虎门所</t>
  </si>
  <si>
    <t>惠州所</t>
  </si>
  <si>
    <t>龙华所</t>
  </si>
  <si>
    <t>罗湖所</t>
  </si>
  <si>
    <t>塘厦所</t>
  </si>
  <si>
    <t>中山分</t>
  </si>
  <si>
    <t>佛山所</t>
  </si>
  <si>
    <t>高州所</t>
  </si>
  <si>
    <t>江门所</t>
  </si>
  <si>
    <t>茂名所</t>
  </si>
  <si>
    <t>顺德所</t>
  </si>
  <si>
    <t>阳江所</t>
  </si>
  <si>
    <t>湛江所</t>
  </si>
  <si>
    <t>中山所</t>
  </si>
  <si>
    <t>珠海所</t>
  </si>
  <si>
    <t>柳州分</t>
  </si>
  <si>
    <t>百色所</t>
  </si>
  <si>
    <t>桂林所</t>
  </si>
  <si>
    <t>河池所</t>
  </si>
  <si>
    <t>贺州所</t>
  </si>
  <si>
    <t>靖西所</t>
  </si>
  <si>
    <t>来宾所</t>
  </si>
  <si>
    <t>临桂所</t>
  </si>
  <si>
    <t>柳州所</t>
  </si>
  <si>
    <t>南宁分</t>
  </si>
  <si>
    <t>北海所</t>
  </si>
  <si>
    <t>北流所</t>
  </si>
  <si>
    <t>崇左所</t>
  </si>
  <si>
    <t>防城港所</t>
  </si>
  <si>
    <t>贵港所</t>
  </si>
  <si>
    <t>南宁东所</t>
  </si>
  <si>
    <t>南宁西所</t>
  </si>
  <si>
    <t>钦州所</t>
  </si>
  <si>
    <t>梧州所</t>
  </si>
  <si>
    <t>玉林所</t>
  </si>
  <si>
    <t>海南分</t>
  </si>
  <si>
    <t>儋州所</t>
  </si>
  <si>
    <t>海口所</t>
  </si>
  <si>
    <t>琼海所</t>
  </si>
  <si>
    <t>三亚所</t>
  </si>
  <si>
    <t>安阳分</t>
  </si>
  <si>
    <t>鹤壁所</t>
  </si>
  <si>
    <t>焦作所</t>
  </si>
  <si>
    <t>濮阳所</t>
  </si>
  <si>
    <t>新乡所</t>
  </si>
  <si>
    <t>延津所</t>
  </si>
  <si>
    <t>漯河分</t>
  </si>
  <si>
    <t>鹿邑所</t>
  </si>
  <si>
    <t>漯河所</t>
  </si>
  <si>
    <t>平顶山所</t>
  </si>
  <si>
    <t>许昌所</t>
  </si>
  <si>
    <t>永城所</t>
  </si>
  <si>
    <t>郑州分</t>
  </si>
  <si>
    <t>开封所</t>
  </si>
  <si>
    <t>三门峡所</t>
  </si>
  <si>
    <t>荥阳所</t>
  </si>
  <si>
    <t>驻马店分</t>
  </si>
  <si>
    <t>固始所</t>
  </si>
  <si>
    <t>平舆所</t>
  </si>
  <si>
    <t>信阳所</t>
  </si>
  <si>
    <t>镇平所</t>
  </si>
  <si>
    <t>武汉分</t>
  </si>
  <si>
    <t>汉川所</t>
  </si>
  <si>
    <t>汉口所</t>
  </si>
  <si>
    <t>汉阳所</t>
  </si>
  <si>
    <t>黄冈所</t>
  </si>
  <si>
    <t>黄梅所</t>
  </si>
  <si>
    <t>黄石所</t>
  </si>
  <si>
    <t>武昌所</t>
  </si>
  <si>
    <t>咸宁所</t>
  </si>
  <si>
    <t>孝感所</t>
  </si>
  <si>
    <t>宜昌分</t>
  </si>
  <si>
    <t>恩施所</t>
  </si>
  <si>
    <t>樊城所</t>
  </si>
  <si>
    <t>监利所</t>
  </si>
  <si>
    <t>荆门所</t>
  </si>
  <si>
    <t>荆州所</t>
  </si>
  <si>
    <t>十堰所</t>
  </si>
  <si>
    <t>随州所</t>
  </si>
  <si>
    <t>仙桃所</t>
  </si>
  <si>
    <t>襄阳所</t>
  </si>
  <si>
    <t>宜昌所</t>
  </si>
  <si>
    <t>枝江所</t>
  </si>
  <si>
    <t>衡阳分</t>
  </si>
  <si>
    <t>郴州所</t>
  </si>
  <si>
    <t>怀化所</t>
  </si>
  <si>
    <t>娄底所</t>
  </si>
  <si>
    <t>湘西所</t>
  </si>
  <si>
    <t>永州所</t>
  </si>
  <si>
    <t>长沙分</t>
  </si>
  <si>
    <t>常德所</t>
  </si>
  <si>
    <t>湘潭所</t>
  </si>
  <si>
    <t>益阳所</t>
  </si>
  <si>
    <t>张家界所</t>
  </si>
  <si>
    <t>长沙西所</t>
  </si>
  <si>
    <t>株洲所</t>
  </si>
  <si>
    <t>安庆分</t>
  </si>
  <si>
    <t>安庆所</t>
  </si>
  <si>
    <t>池州所</t>
  </si>
  <si>
    <t>滁州所</t>
  </si>
  <si>
    <t>黄山所</t>
  </si>
  <si>
    <t>马鞍山所</t>
  </si>
  <si>
    <t>铜陵所</t>
  </si>
  <si>
    <t>芜湖所</t>
  </si>
  <si>
    <t>宿松所</t>
  </si>
  <si>
    <t>宣城所</t>
  </si>
  <si>
    <t>合肥分</t>
  </si>
  <si>
    <t>蚌埠所</t>
  </si>
  <si>
    <t>亳州所</t>
  </si>
  <si>
    <t>巢湖所</t>
  </si>
  <si>
    <t>阜阳所</t>
  </si>
  <si>
    <t>淮北所</t>
  </si>
  <si>
    <t>淮南所</t>
  </si>
  <si>
    <t>六安所</t>
  </si>
  <si>
    <t>太和所</t>
  </si>
  <si>
    <t>宿州所</t>
  </si>
  <si>
    <t>淮安分</t>
  </si>
  <si>
    <t>滨海所</t>
  </si>
  <si>
    <t>淮安所</t>
  </si>
  <si>
    <t>连云港所</t>
  </si>
  <si>
    <t>新沂所</t>
  </si>
  <si>
    <t>宿迁所</t>
  </si>
  <si>
    <t>徐州所</t>
  </si>
  <si>
    <t>盐城所</t>
  </si>
  <si>
    <t>南京分</t>
  </si>
  <si>
    <t>高邮所</t>
  </si>
  <si>
    <t>江宁所</t>
  </si>
  <si>
    <t>南京所</t>
  </si>
  <si>
    <t>泰州所</t>
  </si>
  <si>
    <t>扬州所</t>
  </si>
  <si>
    <t>镇江所</t>
  </si>
  <si>
    <t>苏州分</t>
  </si>
  <si>
    <t>常熟所</t>
  </si>
  <si>
    <t>常州所</t>
  </si>
  <si>
    <t>海门所</t>
  </si>
  <si>
    <t>江阴所</t>
  </si>
  <si>
    <t>南通所</t>
  </si>
  <si>
    <t>如皋所</t>
  </si>
  <si>
    <t>苏州所</t>
  </si>
  <si>
    <t>无锡所</t>
  </si>
  <si>
    <t>吴江所</t>
  </si>
  <si>
    <t>济南分</t>
  </si>
  <si>
    <t>滨州所</t>
  </si>
  <si>
    <t>德州所</t>
  </si>
  <si>
    <t>东营所</t>
  </si>
  <si>
    <t>济南所</t>
  </si>
  <si>
    <t>莱芜所</t>
  </si>
  <si>
    <t>聊城所</t>
  </si>
  <si>
    <t>阳谷所</t>
  </si>
  <si>
    <t>禹城所</t>
  </si>
  <si>
    <t>章丘所</t>
  </si>
  <si>
    <t>济宁分</t>
  </si>
  <si>
    <t>成武所</t>
  </si>
  <si>
    <t>菏泽所</t>
  </si>
  <si>
    <t>济宁所</t>
  </si>
  <si>
    <t>金乡所</t>
  </si>
  <si>
    <t>枣庄所</t>
  </si>
  <si>
    <t>邹城所</t>
  </si>
  <si>
    <t>临沂分</t>
  </si>
  <si>
    <t>临沭所</t>
  </si>
  <si>
    <t>临沂所</t>
  </si>
  <si>
    <t>日照所</t>
  </si>
  <si>
    <t>沂南所</t>
  </si>
  <si>
    <t>淄博所</t>
  </si>
  <si>
    <t>淄川所</t>
  </si>
  <si>
    <t>青岛分</t>
  </si>
  <si>
    <t>安丘所</t>
  </si>
  <si>
    <t>即墨所</t>
  </si>
  <si>
    <t>胶州所</t>
  </si>
  <si>
    <t>龙口所</t>
  </si>
  <si>
    <t>青岛所</t>
  </si>
  <si>
    <t>青州所</t>
  </si>
  <si>
    <t>威海所</t>
  </si>
  <si>
    <t>潍坊所</t>
  </si>
  <si>
    <t>烟台所</t>
  </si>
  <si>
    <t>福州分</t>
  </si>
  <si>
    <t>福清所</t>
  </si>
  <si>
    <t>福州所</t>
  </si>
  <si>
    <t>晋安所</t>
  </si>
  <si>
    <t>南平所</t>
  </si>
  <si>
    <t>宁德所</t>
  </si>
  <si>
    <t>三明所</t>
  </si>
  <si>
    <t>泉州分</t>
  </si>
  <si>
    <t>安溪所</t>
  </si>
  <si>
    <t>龙岩所</t>
  </si>
  <si>
    <t>莆田所</t>
  </si>
  <si>
    <t>泉州所</t>
  </si>
  <si>
    <t>厦门所</t>
  </si>
  <si>
    <t>漳州所</t>
  </si>
  <si>
    <t>诏安所</t>
  </si>
  <si>
    <t>南昌分</t>
  </si>
  <si>
    <t>德安所</t>
  </si>
  <si>
    <t>抚州所</t>
  </si>
  <si>
    <t>景德镇所</t>
  </si>
  <si>
    <t>九江所</t>
  </si>
  <si>
    <t>南昌所</t>
  </si>
  <si>
    <t>鄱阳所</t>
  </si>
  <si>
    <t>上饶所</t>
  </si>
  <si>
    <t>鹰潭所</t>
  </si>
  <si>
    <t>宜春分</t>
  </si>
  <si>
    <t>赣州所</t>
  </si>
  <si>
    <t>吉安所</t>
  </si>
  <si>
    <t>萍乡所</t>
  </si>
  <si>
    <t>瑞金所</t>
  </si>
  <si>
    <t>新余所</t>
  </si>
  <si>
    <t>宜春所</t>
  </si>
  <si>
    <t>上海分</t>
  </si>
  <si>
    <t>宝山所</t>
  </si>
  <si>
    <t>奉贤所</t>
  </si>
  <si>
    <t>闵行所</t>
  </si>
  <si>
    <t>浦东所</t>
  </si>
  <si>
    <t>松江所</t>
  </si>
  <si>
    <t>杭州分</t>
  </si>
  <si>
    <t>杭州所</t>
  </si>
  <si>
    <t>湖州所</t>
  </si>
  <si>
    <t>嘉兴所</t>
  </si>
  <si>
    <t>上虞所</t>
  </si>
  <si>
    <t>绍兴所</t>
  </si>
  <si>
    <t>萧山所</t>
  </si>
  <si>
    <t>余杭所</t>
  </si>
  <si>
    <t>宁波分</t>
  </si>
  <si>
    <t>慈溪所</t>
  </si>
  <si>
    <t>奉化所</t>
  </si>
  <si>
    <t>临海所</t>
  </si>
  <si>
    <t>宁波所</t>
  </si>
  <si>
    <t>台州所</t>
  </si>
  <si>
    <t>舟山所</t>
  </si>
  <si>
    <t>温州分</t>
  </si>
  <si>
    <t>金华所</t>
  </si>
  <si>
    <t>丽水所</t>
  </si>
  <si>
    <t>衢州所</t>
  </si>
  <si>
    <t>温州所</t>
  </si>
  <si>
    <t>西北区</t>
  </si>
  <si>
    <t>兰州分</t>
  </si>
  <si>
    <t>白银所</t>
  </si>
  <si>
    <t>格尔木所</t>
  </si>
  <si>
    <t>酒泉所</t>
  </si>
  <si>
    <t>拉萨所</t>
  </si>
  <si>
    <t>兰州所</t>
  </si>
  <si>
    <t>临夏所</t>
  </si>
  <si>
    <t>陇南所</t>
  </si>
  <si>
    <t>天水所</t>
  </si>
  <si>
    <t>武威所</t>
  </si>
  <si>
    <t>西宁所</t>
  </si>
  <si>
    <t>西安分</t>
  </si>
  <si>
    <t>安康所</t>
  </si>
  <si>
    <t>宝鸡所</t>
  </si>
  <si>
    <t>汉中所</t>
  </si>
  <si>
    <t>商洛所</t>
  </si>
  <si>
    <t>西安北所</t>
  </si>
  <si>
    <t>西安南所</t>
  </si>
  <si>
    <t>长安所</t>
  </si>
  <si>
    <t>咸阳分</t>
  </si>
  <si>
    <t>大荔所</t>
  </si>
  <si>
    <t>固原所</t>
  </si>
  <si>
    <t>平凉所</t>
  </si>
  <si>
    <t>庆阳所</t>
  </si>
  <si>
    <t>渭南所</t>
  </si>
  <si>
    <t>咸阳所</t>
  </si>
  <si>
    <t>延安所</t>
  </si>
  <si>
    <t>榆林所</t>
  </si>
  <si>
    <t>乌鲁木齐分</t>
  </si>
  <si>
    <t>阿克苏所</t>
  </si>
  <si>
    <t>巴音郭楞所</t>
  </si>
  <si>
    <t>昌吉所</t>
  </si>
  <si>
    <t>哈密所</t>
  </si>
  <si>
    <t>喀什所</t>
  </si>
  <si>
    <t>克拉玛依所</t>
  </si>
  <si>
    <t>奎屯所</t>
  </si>
  <si>
    <t>石河子所</t>
  </si>
  <si>
    <t>乌鲁木齐所</t>
  </si>
  <si>
    <t>伊犁所</t>
  </si>
  <si>
    <t>贵阳分</t>
  </si>
  <si>
    <t>凯里所</t>
  </si>
  <si>
    <t>黎平所</t>
  </si>
  <si>
    <t>南明所</t>
  </si>
  <si>
    <t>黔南所</t>
  </si>
  <si>
    <t>铜仁所</t>
  </si>
  <si>
    <t>云岩所</t>
  </si>
  <si>
    <t>遵义分</t>
  </si>
  <si>
    <t>安顺所</t>
  </si>
  <si>
    <t>毕节所</t>
  </si>
  <si>
    <t>六盘水所</t>
  </si>
  <si>
    <t>黔西南所</t>
  </si>
  <si>
    <t>黔西所</t>
  </si>
  <si>
    <t>桐梓所</t>
  </si>
  <si>
    <t>遵义所</t>
  </si>
  <si>
    <t>成都分</t>
  </si>
  <si>
    <t>成都所</t>
  </si>
  <si>
    <t>德阳所</t>
  </si>
  <si>
    <t>江油所</t>
  </si>
  <si>
    <t>金牛所</t>
  </si>
  <si>
    <t>绵阳所</t>
  </si>
  <si>
    <t>乐山分</t>
  </si>
  <si>
    <t>都江堰所</t>
  </si>
  <si>
    <t>乐山所</t>
  </si>
  <si>
    <t>凉山所</t>
  </si>
  <si>
    <t>眉山所</t>
  </si>
  <si>
    <t>雅安所</t>
  </si>
  <si>
    <t>资阳所</t>
  </si>
  <si>
    <t>南充分</t>
  </si>
  <si>
    <t>巴中所</t>
  </si>
  <si>
    <t>珙县所</t>
  </si>
  <si>
    <t>广安所</t>
  </si>
  <si>
    <t>泸州所</t>
  </si>
  <si>
    <t>南部所</t>
  </si>
  <si>
    <t>南充所</t>
  </si>
  <si>
    <t>内江所</t>
  </si>
  <si>
    <t>遂宁所</t>
  </si>
  <si>
    <t>宜宾所</t>
  </si>
  <si>
    <t>自贡所</t>
  </si>
  <si>
    <t>昆明分</t>
  </si>
  <si>
    <t>保山所</t>
  </si>
  <si>
    <t>大理所</t>
  </si>
  <si>
    <t>德宏所</t>
  </si>
  <si>
    <t>红河所</t>
  </si>
  <si>
    <t>昆明北所</t>
  </si>
  <si>
    <t>昆明南所</t>
  </si>
  <si>
    <t>丽江所</t>
  </si>
  <si>
    <t>曲靖所</t>
  </si>
  <si>
    <t>思茅所</t>
  </si>
  <si>
    <t>文山所</t>
  </si>
  <si>
    <t>西双版纳所</t>
  </si>
  <si>
    <t>玉溪所</t>
  </si>
  <si>
    <t>昭通所</t>
  </si>
  <si>
    <t>重庆分</t>
  </si>
  <si>
    <t>达州所</t>
  </si>
  <si>
    <t>涪陵所</t>
  </si>
  <si>
    <t>九龙所</t>
  </si>
  <si>
    <t>南坪所</t>
  </si>
  <si>
    <t>万州所</t>
  </si>
  <si>
    <t>宣汉所</t>
  </si>
  <si>
    <t>渝北所</t>
  </si>
  <si>
    <t>渝中所</t>
  </si>
  <si>
    <t>云阳所</t>
  </si>
  <si>
    <t>业务-1</t>
  </si>
  <si>
    <t>业务-2</t>
  </si>
  <si>
    <t>业务-3</t>
  </si>
  <si>
    <t>业务-4</t>
  </si>
  <si>
    <t>业务-5</t>
  </si>
  <si>
    <t>业务-6</t>
  </si>
  <si>
    <t>业务-7</t>
  </si>
  <si>
    <t>业务-8</t>
  </si>
  <si>
    <t>业务-9</t>
  </si>
  <si>
    <t>业务-10</t>
  </si>
  <si>
    <t>业务-11</t>
  </si>
  <si>
    <t>业务-12</t>
  </si>
  <si>
    <t>业务-13</t>
  </si>
  <si>
    <t>业务-14</t>
  </si>
  <si>
    <t>业务-15</t>
  </si>
  <si>
    <t>业务-16</t>
  </si>
  <si>
    <t>业务-17</t>
  </si>
  <si>
    <t>业务-18</t>
  </si>
  <si>
    <t>业务-19</t>
  </si>
  <si>
    <t>业务-20</t>
  </si>
  <si>
    <t>业务-21</t>
  </si>
  <si>
    <t>业务-22</t>
  </si>
  <si>
    <t>业务-23</t>
  </si>
  <si>
    <t>业务-24</t>
  </si>
  <si>
    <t>业务-25</t>
  </si>
  <si>
    <t>何平武</t>
  </si>
  <si>
    <t>业务-26</t>
  </si>
  <si>
    <t>业务-27</t>
  </si>
  <si>
    <t>业务-28</t>
  </si>
  <si>
    <t>业务-29</t>
  </si>
  <si>
    <t>业务-30</t>
  </si>
  <si>
    <t>业务-31</t>
  </si>
  <si>
    <t>业务-32</t>
  </si>
  <si>
    <t>业务-33</t>
  </si>
  <si>
    <t>业务-34</t>
  </si>
  <si>
    <t>业务-35</t>
  </si>
  <si>
    <t>业务-36</t>
  </si>
  <si>
    <t>业务-37</t>
  </si>
  <si>
    <t>业务-38</t>
  </si>
  <si>
    <t>业务-39</t>
  </si>
  <si>
    <t>业务-40</t>
  </si>
  <si>
    <t>业务-41</t>
  </si>
  <si>
    <t>序号</t>
  </si>
  <si>
    <t>分公司</t>
  </si>
  <si>
    <t>是否兼岗</t>
  </si>
  <si>
    <t>苍南所</t>
  </si>
  <si>
    <t>层级</t>
  </si>
  <si>
    <t>制定人</t>
  </si>
  <si>
    <t>单位主管</t>
  </si>
  <si>
    <t>合伙人</t>
  </si>
  <si>
    <t>季度/月度目标</t>
    <phoneticPr fontId="28" type="noConversion"/>
  </si>
  <si>
    <t>区域经理</t>
    <phoneticPr fontId="28" type="noConversion"/>
  </si>
  <si>
    <t>人口数
（万人）</t>
    <phoneticPr fontId="28" type="noConversion"/>
  </si>
  <si>
    <t>管控目标</t>
    <phoneticPr fontId="28" type="noConversion"/>
  </si>
  <si>
    <t>人口占比</t>
    <phoneticPr fontId="28" type="noConversion"/>
  </si>
  <si>
    <t>人口数
占比</t>
    <phoneticPr fontId="28" type="noConversion"/>
  </si>
  <si>
    <t>26-Q2季度目标
（按组织+人拆分）</t>
    <phoneticPr fontId="28" type="noConversion"/>
  </si>
  <si>
    <t>管控目
标增长率</t>
    <phoneticPr fontId="28" type="noConversion"/>
  </si>
  <si>
    <t>1、增长率&lt;-50%标绿
2、增长率&gt;50%标红</t>
    <phoneticPr fontId="28" type="noConversion"/>
  </si>
  <si>
    <t>目标制定规则</t>
    <phoneticPr fontId="28" type="noConversion"/>
  </si>
  <si>
    <t>人口数</t>
  </si>
  <si>
    <t>华东区</t>
    <phoneticPr fontId="28" type="noConversion"/>
  </si>
  <si>
    <t>全国占比</t>
    <phoneticPr fontId="28" type="noConversion"/>
  </si>
  <si>
    <t>大区占比</t>
    <phoneticPr fontId="28" type="noConversion"/>
  </si>
  <si>
    <t>省区占比</t>
    <phoneticPr fontId="28" type="noConversion"/>
  </si>
  <si>
    <t>内蒙古自治区</t>
    <phoneticPr fontId="28" type="noConversion"/>
  </si>
  <si>
    <t>辽宁省</t>
    <phoneticPr fontId="28" type="noConversion"/>
  </si>
  <si>
    <t>李春颜</t>
    <phoneticPr fontId="28" type="noConversion"/>
  </si>
  <si>
    <r>
      <t xml:space="preserve">管控目标
</t>
    </r>
    <r>
      <rPr>
        <sz val="8"/>
        <color theme="0"/>
        <rFont val="微软雅黑"/>
        <family val="2"/>
        <charset val="134"/>
      </rPr>
      <t>（按人口占比）</t>
    </r>
    <phoneticPr fontId="28" type="noConversion"/>
  </si>
  <si>
    <r>
      <t xml:space="preserve">管控目标
</t>
    </r>
    <r>
      <rPr>
        <sz val="8"/>
        <color theme="0"/>
        <rFont val="微软雅黑"/>
        <family val="2"/>
        <charset val="134"/>
      </rPr>
      <t>（按上期业绩）</t>
    </r>
    <phoneticPr fontId="28" type="noConversion"/>
  </si>
  <si>
    <t>大区</t>
    <phoneticPr fontId="28" type="noConversion"/>
  </si>
  <si>
    <t>省区数</t>
    <phoneticPr fontId="28" type="noConversion"/>
  </si>
  <si>
    <t>用人口数设置管控目标</t>
    <phoneticPr fontId="28" type="noConversion"/>
  </si>
  <si>
    <t>现有目标低于管控目标个数</t>
    <phoneticPr fontId="28" type="noConversion"/>
  </si>
  <si>
    <t>分公司数</t>
    <phoneticPr fontId="28" type="noConversion"/>
  </si>
  <si>
    <t>合计</t>
    <phoneticPr fontId="28" type="noConversion"/>
  </si>
  <si>
    <t>占比</t>
    <phoneticPr fontId="28" type="noConversion"/>
  </si>
  <si>
    <t>目标设置规则：组织+人（组织是看这个组织的所有层级的是否有人）</t>
    <phoneticPr fontId="28" type="noConversion"/>
  </si>
  <si>
    <t>目标分类</t>
    <phoneticPr fontId="28" type="noConversion"/>
  </si>
  <si>
    <t>组织目标</t>
    <phoneticPr fontId="28" type="noConversion"/>
  </si>
  <si>
    <t>合伙人目标</t>
    <phoneticPr fontId="28" type="noConversion"/>
  </si>
  <si>
    <t>目标设置审核节点</t>
    <phoneticPr fontId="28" type="noConversion"/>
  </si>
  <si>
    <t>有区域经理：区域经理根据当前营业所目标拆分合伙人目标</t>
    <phoneticPr fontId="28" type="noConversion"/>
  </si>
  <si>
    <t>无区域经理：由上级进行拆分合伙人目标</t>
    <phoneticPr fontId="28" type="noConversion"/>
  </si>
  <si>
    <t>新入职合伙人：入职5天内置季度/月度目标</t>
    <phoneticPr fontId="28" type="noConversion"/>
  </si>
  <si>
    <t>上级</t>
    <phoneticPr fontId="28" type="noConversion"/>
  </si>
  <si>
    <t>区域经理或上级</t>
    <phoneticPr fontId="28" type="noConversion"/>
  </si>
  <si>
    <t>由设置人上级审核</t>
    <phoneticPr fontId="28" type="noConversion"/>
  </si>
  <si>
    <t>已设置的合伙人季度目标不能做调整</t>
    <phoneticPr fontId="28" type="noConversion"/>
  </si>
  <si>
    <t>营业所合伙人季度目标总和 ≥ 当前营业所季度目标</t>
    <phoneticPr fontId="28" type="noConversion"/>
  </si>
  <si>
    <t>合伙人季度/月度目标≥最低管控季度/月度目标</t>
    <phoneticPr fontId="28" type="noConversion"/>
  </si>
  <si>
    <t>新入职合伙人季度/月度目标≥最低管控季度/月度目标</t>
    <phoneticPr fontId="28" type="noConversion"/>
  </si>
  <si>
    <t>目标设置路径</t>
    <phoneticPr fontId="28" type="noConversion"/>
  </si>
  <si>
    <r>
      <t>1、由大区总监制定省区季度/月度目标
2、如某个省区组织人数是0，则不需要设置目标；如没有负责人，但下级有人（</t>
    </r>
    <r>
      <rPr>
        <sz val="20"/>
        <color rgb="FFFF0000"/>
        <rFont val="微软雅黑"/>
        <family val="2"/>
        <charset val="134"/>
      </rPr>
      <t>包含兼岗</t>
    </r>
    <r>
      <rPr>
        <sz val="20"/>
        <color theme="1"/>
        <rFont val="微软雅黑"/>
        <family val="2"/>
        <charset val="134"/>
      </rPr>
      <t>），需分配目标），剩余目标放入</t>
    </r>
    <r>
      <rPr>
        <sz val="20"/>
        <color rgb="FFFF0000"/>
        <rFont val="微软雅黑"/>
        <family val="2"/>
        <charset val="134"/>
      </rPr>
      <t>空挂池</t>
    </r>
    <r>
      <rPr>
        <sz val="20"/>
        <color theme="1"/>
        <rFont val="微软雅黑"/>
        <family val="2"/>
        <charset val="134"/>
      </rPr>
      <t>，空挂池目标不能超过空挂目标管控上限</t>
    </r>
    <phoneticPr fontId="28" type="noConversion"/>
  </si>
  <si>
    <t>大区总监</t>
    <phoneticPr fontId="28" type="noConversion"/>
  </si>
  <si>
    <t>单位主管审核</t>
    <phoneticPr fontId="28" type="noConversion"/>
  </si>
  <si>
    <t>省区总监</t>
    <phoneticPr fontId="28" type="noConversion"/>
  </si>
  <si>
    <t>大区总监审核</t>
    <phoneticPr fontId="28" type="noConversion"/>
  </si>
  <si>
    <t>区域总监</t>
    <phoneticPr fontId="28" type="noConversion"/>
  </si>
  <si>
    <t>省区总监审核</t>
    <phoneticPr fontId="28" type="noConversion"/>
  </si>
  <si>
    <r>
      <t>1、由区域总监制定营业所季度/月度目标
2、如某个营业所组织人数是0，则不需要设置目标；剩余目标放入</t>
    </r>
    <r>
      <rPr>
        <sz val="20"/>
        <color rgb="FFFF0000"/>
        <rFont val="微软雅黑"/>
        <family val="2"/>
        <charset val="134"/>
      </rPr>
      <t>空挂池</t>
    </r>
    <r>
      <rPr>
        <sz val="20"/>
        <color theme="1"/>
        <rFont val="微软雅黑"/>
        <family val="2"/>
        <charset val="134"/>
      </rPr>
      <t>，空挂池目标不能超过空挂目标管控上限</t>
    </r>
    <phoneticPr fontId="28" type="noConversion"/>
  </si>
  <si>
    <r>
      <t>1、由省区总监制定公司季度/月度目标
2、如某个分公司组织人数是0，则不需要设置目标；如没有负责人，但下级有人（</t>
    </r>
    <r>
      <rPr>
        <sz val="20"/>
        <color rgb="FFFF0000"/>
        <rFont val="微软雅黑"/>
        <family val="2"/>
        <charset val="134"/>
      </rPr>
      <t>包含兼岗</t>
    </r>
    <r>
      <rPr>
        <sz val="20"/>
        <color theme="1"/>
        <rFont val="微软雅黑"/>
        <family val="2"/>
        <charset val="134"/>
      </rPr>
      <t>），需分配目标），剩余目标放入</t>
    </r>
    <r>
      <rPr>
        <sz val="20"/>
        <color rgb="FFFF0000"/>
        <rFont val="微软雅黑"/>
        <family val="2"/>
        <charset val="134"/>
      </rPr>
      <t>空挂池</t>
    </r>
    <r>
      <rPr>
        <sz val="20"/>
        <color theme="1"/>
        <rFont val="微软雅黑"/>
        <family val="2"/>
        <charset val="134"/>
      </rPr>
      <t>，空挂池目标不能超过空挂目标管控上限</t>
    </r>
    <phoneticPr fontId="28" type="noConversion"/>
  </si>
  <si>
    <t>提成计算</t>
    <phoneticPr fontId="28" type="noConversion"/>
  </si>
  <si>
    <t>总部</t>
    <phoneticPr fontId="28" type="noConversion"/>
  </si>
  <si>
    <t>单位主管确认的组织总的季度目标，由销售运营部导入系统，组织月度目标由大区月度目标汇总</t>
    <phoneticPr fontId="28" type="noConversion"/>
  </si>
  <si>
    <t>无需审核</t>
    <phoneticPr fontId="28" type="noConversion"/>
  </si>
  <si>
    <t>① 季度内入职</t>
    <phoneticPr fontId="28" type="noConversion"/>
  </si>
  <si>
    <t>a、岗位已有月 / 季目标
b、岗位无月 / 季目标</t>
    <phoneticPr fontId="28" type="noConversion"/>
  </si>
  <si>
    <t>② 季度内离职</t>
    <phoneticPr fontId="28" type="noConversion"/>
  </si>
  <si>
    <t>③ 季度内增加或取消兼岗</t>
    <phoneticPr fontId="28" type="noConversion"/>
  </si>
  <si>
    <t>目标设置理规则</t>
    <phoneticPr fontId="28" type="noConversion"/>
  </si>
  <si>
    <t>④季度内 主岗同岗位异动</t>
    <phoneticPr fontId="28" type="noConversion"/>
  </si>
  <si>
    <t>a-1、增加的兼岗已有月 / 季目标
a-2、增加的兼岗无月 / 季目标
b、取消兼岗，目标不取消</t>
    <phoneticPr fontId="28" type="noConversion"/>
  </si>
  <si>
    <t>a、异动岗位已有月 / 季目标
b、异动岗位无月 / 季目标</t>
    <phoneticPr fontId="28" type="noConversion"/>
  </si>
  <si>
    <t>个人考核目标=异动前岗位目标+异动后岗位目标
（异动前后岗位目标不折算）</t>
    <phoneticPr fontId="28" type="noConversion"/>
  </si>
  <si>
    <t>个人考核目标 = 主岗目标 + 兼岗目标
计算达成
（兼岗目标不折算）</t>
    <phoneticPr fontId="28" type="noConversion"/>
  </si>
  <si>
    <t>⑤季度内 升职 / 降职异动</t>
    <phoneticPr fontId="28" type="noConversion"/>
  </si>
  <si>
    <t>a、升职/降职 岗位已有月 / 季目标
b、升职/降职 岗位无月 / 季目标</t>
    <phoneticPr fontId="28" type="noConversion"/>
  </si>
  <si>
    <t>个人考核目标分段计算
（异动前后岗位目标不折算）</t>
    <phoneticPr fontId="28" type="noConversion"/>
  </si>
  <si>
    <t>岗位按原目标</t>
    <phoneticPr fontId="28" type="noConversion"/>
  </si>
  <si>
    <t>岗位目标不调整</t>
    <phoneticPr fontId="28" type="noConversion"/>
  </si>
  <si>
    <t>个人考核目标按100% 计算达成
未设置目标则无提成</t>
    <phoneticPr fontId="28" type="noConversion"/>
  </si>
  <si>
    <t>个人考核目标按原目标计算达成
（岗位目标不折算）</t>
    <phoneticPr fontId="28" type="noConversion"/>
  </si>
  <si>
    <t>人员异动 目标设置规则</t>
    <phoneticPr fontId="28" type="noConversion"/>
  </si>
  <si>
    <t>人员异动场景</t>
    <phoneticPr fontId="28" type="noConversion"/>
  </si>
  <si>
    <t xml:space="preserve">a、岗位已有目标的，按现有目标不调整
b、岗位无目标从空挂池分配目标
</t>
    <phoneticPr fontId="28" type="noConversion"/>
  </si>
  <si>
    <t xml:space="preserve">a、岗位已有目标的，不调整
b、岗位无目标从空挂池分配
</t>
    <phoneticPr fontId="28" type="noConversion"/>
  </si>
  <si>
    <t>a-1、兼岗已有目标的，按现有目标不调整
a-2、兼岗无目标从空挂池分配目标
b、取消兼岗 ，目标不调整</t>
    <phoneticPr fontId="28" type="noConversion"/>
  </si>
  <si>
    <t xml:space="preserve">a、岗位已有目标的，按现有目标不调整
b、岗位无目标从空挂池分配目标目标
</t>
    <phoneticPr fontId="28" type="noConversion"/>
  </si>
  <si>
    <t>单位主管确认的季度目标，大区自行拆分月度目标</t>
    <phoneticPr fontId="28" type="noConversion"/>
  </si>
  <si>
    <r>
      <rPr>
        <b/>
        <sz val="20"/>
        <color theme="1"/>
        <rFont val="微软雅黑"/>
        <family val="2"/>
        <charset val="134"/>
      </rPr>
      <t xml:space="preserve">1. 自上而下的逐级拆解规则：
</t>
    </r>
    <r>
      <rPr>
        <sz val="20"/>
        <color theme="1"/>
        <rFont val="微软雅黑"/>
        <family val="2"/>
        <charset val="134"/>
      </rPr>
      <t xml:space="preserve">目标拆解必须遵循「总部→大区→省区→分公司→营业所」的路径
</t>
    </r>
    <r>
      <rPr>
        <b/>
        <sz val="20"/>
        <color theme="1"/>
        <rFont val="微软雅黑"/>
        <family val="2"/>
        <charset val="134"/>
      </rPr>
      <t xml:space="preserve">2. 目标总额平衡规则：
</t>
    </r>
    <r>
      <rPr>
        <sz val="20"/>
        <color theme="1"/>
        <rFont val="微软雅黑"/>
        <family val="2"/>
        <charset val="134"/>
      </rPr>
      <t xml:space="preserve">a、当前组织目标 = 下级在岗人员目标（已分配） + 空挂池目标（未分配）
b、季度目标=月度目标之和
</t>
    </r>
    <r>
      <rPr>
        <b/>
        <sz val="20"/>
        <color theme="1"/>
        <rFont val="微软雅黑"/>
        <family val="2"/>
        <charset val="134"/>
      </rPr>
      <t>3. 空挂池目标管理规则</t>
    </r>
    <r>
      <rPr>
        <sz val="20"/>
        <color theme="1"/>
        <rFont val="微软雅黑"/>
        <family val="2"/>
        <charset val="134"/>
      </rPr>
      <t xml:space="preserve">
空挂池目标为 “未分配至在岗人员的目标”，用于平衡本级目标总额与已分配人员目标的差额
a、空挂池 目标不能高于管控目标 N万（管控目标=上级组织目标*空岗组织的人口占比）
</t>
    </r>
    <r>
      <rPr>
        <sz val="20"/>
        <color rgb="FFFF0000"/>
        <rFont val="微软雅黑"/>
        <family val="2"/>
        <charset val="134"/>
      </rPr>
      <t>b、当前组织空岗，下属岗位有人，需要设置目标；
c、当前组织空岗，下属岗位没有人，不需要设置目标（系统里是灰色的）
d、当前组织未启动，不需要设置组织目标（系统里是灰色）</t>
    </r>
    <r>
      <rPr>
        <sz val="20"/>
        <color theme="1"/>
        <rFont val="微软雅黑"/>
        <family val="2"/>
        <charset val="134"/>
      </rPr>
      <t xml:space="preserve">
</t>
    </r>
    <r>
      <rPr>
        <b/>
        <sz val="20"/>
        <color theme="1"/>
        <rFont val="微软雅黑"/>
        <family val="2"/>
        <charset val="134"/>
      </rPr>
      <t>4. 新入职人员目标设置规则：</t>
    </r>
    <r>
      <rPr>
        <sz val="20"/>
        <color theme="1"/>
        <rFont val="微软雅黑"/>
        <family val="2"/>
        <charset val="134"/>
      </rPr>
      <t xml:space="preserve">
新入职人员5天内设置目标，从空挂池分配目标，未设置目标，则无提成
备注：1、如新入职人员当前所在的目标是0，则要返回上级去设置目标，上级目标设置审批后，才能给新人设置目标；
2、如新入职人员当前组织目标已分配完，空挂池目标是0，则不能分配目标</t>
    </r>
    <phoneticPr fontId="28" type="noConversion"/>
  </si>
  <si>
    <t>1、正常每月15号前进行目标设置
2、新入职合伙人 入职5天内设置目标
需选到对应的营业所设置目标</t>
    <phoneticPr fontId="28" type="noConversion"/>
  </si>
  <si>
    <r>
      <t xml:space="preserve">
大区目标导入后，需在</t>
    </r>
    <r>
      <rPr>
        <b/>
        <sz val="14"/>
        <color rgb="FFFF0000"/>
        <rFont val="微软雅黑"/>
        <family val="2"/>
        <charset val="134"/>
      </rPr>
      <t>系统提示的规定时间</t>
    </r>
    <r>
      <rPr>
        <b/>
        <sz val="14"/>
        <color theme="1"/>
        <rFont val="微软雅黑"/>
        <family val="2"/>
        <charset val="134"/>
      </rPr>
      <t xml:space="preserve">内完成下级季度目标设置，超过时间则不能设置
</t>
    </r>
    <r>
      <rPr>
        <sz val="14"/>
        <color theme="1"/>
        <rFont val="微软雅黑"/>
        <family val="2"/>
        <charset val="134"/>
      </rPr>
      <t xml:space="preserve">总部导入大区目标记为 D 日，各级时效可配置，默认每级 3 天；
大区→省区截止 D+n1；省区→分公司 D+n1+n2；分公司→营业所 D+n1+n2+n3；
超时未审核自动通过，超时未填报禁止填写。示例：4.1 导入，依次截止 4.4、4.7、4.10 23:59。
</t>
    </r>
    <r>
      <rPr>
        <b/>
        <sz val="14"/>
        <color theme="1"/>
        <rFont val="微软雅黑"/>
        <family val="2"/>
        <charset val="134"/>
      </rPr>
      <t xml:space="preserve">
</t>
    </r>
    <phoneticPr fontId="28" type="noConversion"/>
  </si>
  <si>
    <t>考核岗位</t>
  </si>
  <si>
    <t>考核周期</t>
  </si>
  <si>
    <t>考核指标</t>
  </si>
  <si>
    <t>达标要求</t>
  </si>
  <si>
    <t xml:space="preserve">	不达标处理</t>
  </si>
  <si>
    <t>生效/执行
时间</t>
  </si>
  <si>
    <t>备注</t>
  </si>
  <si>
    <r>
      <rPr>
        <b/>
        <sz val="12"/>
        <color theme="1"/>
        <rFont val="微软雅黑"/>
        <family val="2"/>
        <charset val="134"/>
      </rPr>
      <t>单季度考核</t>
    </r>
    <r>
      <rPr>
        <sz val="12"/>
        <color theme="1"/>
        <rFont val="微软雅黑"/>
        <family val="2"/>
        <charset val="134"/>
      </rPr>
      <t xml:space="preserve">
</t>
    </r>
    <r>
      <rPr>
        <sz val="11"/>
        <color theme="1"/>
        <rFont val="微软雅黑"/>
        <family val="2"/>
        <charset val="134"/>
      </rPr>
      <t>（完整季度在岗）</t>
    </r>
  </si>
  <si>
    <t>季度目标达成率</t>
  </si>
  <si>
    <t>季度≥50%</t>
  </si>
  <si>
    <r>
      <rPr>
        <b/>
        <sz val="12"/>
        <color theme="1"/>
        <rFont val="微软雅黑"/>
        <family val="2"/>
        <charset val="134"/>
      </rPr>
      <t>1、不达标 汰换：</t>
    </r>
    <r>
      <rPr>
        <sz val="12"/>
        <color theme="1"/>
        <rFont val="微软雅黑"/>
        <family val="2"/>
        <charset val="134"/>
      </rPr>
      <t>季度 目标达成率&lt;50%</t>
    </r>
  </si>
  <si>
    <r>
      <rPr>
        <b/>
        <sz val="12"/>
        <color theme="1"/>
        <rFont val="微软雅黑"/>
        <family val="2"/>
        <charset val="134"/>
      </rPr>
      <t>双季度考核</t>
    </r>
    <r>
      <rPr>
        <sz val="12"/>
        <color theme="1"/>
        <rFont val="微软雅黑"/>
        <family val="2"/>
        <charset val="134"/>
      </rPr>
      <t xml:space="preserve">
</t>
    </r>
    <r>
      <rPr>
        <sz val="11"/>
        <color theme="1"/>
        <rFont val="微软雅黑"/>
        <family val="2"/>
        <charset val="134"/>
      </rPr>
      <t>（完整季度在岗）</t>
    </r>
  </si>
  <si>
    <t>连续两个季度目标达成率</t>
  </si>
  <si>
    <t>连续两个季度≥75%</t>
  </si>
  <si>
    <r>
      <rPr>
        <b/>
        <sz val="12"/>
        <color theme="1"/>
        <rFont val="微软雅黑"/>
        <family val="2"/>
        <charset val="134"/>
      </rPr>
      <t>3、不达标 汰换：</t>
    </r>
    <r>
      <rPr>
        <sz val="12"/>
        <color theme="1"/>
        <rFont val="微软雅黑"/>
        <family val="2"/>
        <charset val="134"/>
      </rPr>
      <t xml:space="preserve">连续两个季度 目标达成率&lt;75% </t>
    </r>
  </si>
  <si>
    <r>
      <rPr>
        <sz val="12"/>
        <color theme="1"/>
        <rFont val="微软雅黑"/>
        <family val="2"/>
        <charset val="134"/>
      </rPr>
      <t xml:space="preserve">2026/1/1
</t>
    </r>
    <r>
      <rPr>
        <sz val="10"/>
        <color theme="1"/>
        <rFont val="微软雅黑"/>
        <family val="2"/>
        <charset val="134"/>
      </rPr>
      <t>（26年Q2执行）</t>
    </r>
  </si>
  <si>
    <r>
      <rPr>
        <b/>
        <sz val="12"/>
        <color theme="1"/>
        <rFont val="微软雅黑"/>
        <family val="2"/>
        <charset val="134"/>
      </rPr>
      <t>2、不达标 汰换：</t>
    </r>
    <r>
      <rPr>
        <sz val="12"/>
        <color theme="1"/>
        <rFont val="微软雅黑"/>
        <family val="2"/>
        <charset val="134"/>
      </rPr>
      <t>季度 目标达成率&lt;50%</t>
    </r>
  </si>
  <si>
    <r>
      <rPr>
        <sz val="12"/>
        <color theme="1"/>
        <rFont val="微软雅黑"/>
        <family val="2"/>
        <charset val="134"/>
      </rPr>
      <t xml:space="preserve">2026/1/1
</t>
    </r>
    <r>
      <rPr>
        <sz val="10"/>
        <color theme="1"/>
        <rFont val="微软雅黑"/>
        <family val="2"/>
        <charset val="134"/>
      </rPr>
      <t>（26年Q1执行）</t>
    </r>
  </si>
  <si>
    <t>区域总监</t>
  </si>
  <si>
    <t>2026/2/1
（26年2月执行）</t>
  </si>
  <si>
    <t>造旺销售组 汰换特批规则（考核标准）</t>
  </si>
  <si>
    <t>考核组别</t>
  </si>
  <si>
    <t>汰换人员特批-审批流程</t>
    <phoneticPr fontId="55" type="noConversion"/>
  </si>
  <si>
    <t>标箱组</t>
    <phoneticPr fontId="55" type="noConversion"/>
  </si>
  <si>
    <t>大师兄-冲刺组</t>
  </si>
  <si>
    <t>酒品组</t>
  </si>
  <si>
    <t>区域总监</t>
    <phoneticPr fontId="55" type="noConversion"/>
  </si>
  <si>
    <t>省区总监</t>
    <phoneticPr fontId="55" type="noConversion"/>
  </si>
  <si>
    <t>大区总监</t>
    <phoneticPr fontId="55" type="noConversion"/>
  </si>
  <si>
    <t>单位主管
（Leo）</t>
    <phoneticPr fontId="55" type="noConversion"/>
  </si>
  <si>
    <t>✅</t>
  </si>
  <si>
    <t>✅</t>
    <phoneticPr fontId="55" type="noConversion"/>
  </si>
  <si>
    <t>/</t>
    <phoneticPr fontId="55" type="noConversion"/>
  </si>
  <si>
    <r>
      <t>1、考核数据为</t>
    </r>
    <r>
      <rPr>
        <b/>
        <sz val="12"/>
        <color rgb="FFFF0000"/>
        <rFont val="微软雅黑"/>
        <family val="2"/>
        <charset val="134"/>
      </rPr>
      <t>组内主兼岗</t>
    </r>
    <r>
      <rPr>
        <sz val="12"/>
        <color rgb="FF0F1115"/>
        <rFont val="微软雅黑"/>
        <family val="2"/>
        <charset val="134"/>
      </rPr>
      <t xml:space="preserve">汇总数据
</t>
    </r>
    <r>
      <rPr>
        <sz val="12"/>
        <color theme="1"/>
        <rFont val="微软雅黑"/>
        <family val="2"/>
        <charset val="134"/>
      </rPr>
      <t>2、</t>
    </r>
    <r>
      <rPr>
        <b/>
        <sz val="12"/>
        <color rgb="FFFF0000"/>
        <rFont val="微软雅黑"/>
        <family val="2"/>
        <charset val="134"/>
      </rPr>
      <t>跨组兼岗</t>
    </r>
    <r>
      <rPr>
        <sz val="12"/>
        <color rgb="FF0F1115"/>
        <rFont val="微软雅黑"/>
        <family val="2"/>
        <charset val="134"/>
      </rPr>
      <t>的</t>
    </r>
    <r>
      <rPr>
        <b/>
        <sz val="12"/>
        <color rgb="FFFF0000"/>
        <rFont val="微软雅黑"/>
        <family val="2"/>
        <charset val="134"/>
      </rPr>
      <t>考核主岗</t>
    </r>
    <r>
      <rPr>
        <sz val="12"/>
        <color rgb="FF0F1115"/>
        <rFont val="微软雅黑"/>
        <family val="2"/>
        <charset val="134"/>
      </rPr>
      <t xml:space="preserve">所在组数据
3、季度末最后一个月考核：
（考核岗位包含 省区总监，区域总监，区域经理）
</t>
    </r>
    <r>
      <rPr>
        <b/>
        <sz val="12"/>
        <color rgb="FF0F1115"/>
        <rFont val="微软雅黑"/>
        <family val="2"/>
        <charset val="134"/>
      </rPr>
      <t>1）</t>
    </r>
    <r>
      <rPr>
        <b/>
        <sz val="12"/>
        <color rgb="FFFF0000"/>
        <rFont val="微软雅黑"/>
        <family val="2"/>
        <charset val="134"/>
      </rPr>
      <t>非完整季度在岗 ，按月度考核</t>
    </r>
    <r>
      <rPr>
        <sz val="12"/>
        <color rgb="FF0F1115"/>
        <rFont val="微软雅黑"/>
        <family val="2"/>
        <charset val="134"/>
      </rPr>
      <t xml:space="preserve">
</t>
    </r>
    <r>
      <rPr>
        <b/>
        <sz val="12"/>
        <color rgb="FF0F1115"/>
        <rFont val="微软雅黑"/>
        <family val="2"/>
        <charset val="134"/>
      </rPr>
      <t>2）</t>
    </r>
    <r>
      <rPr>
        <b/>
        <sz val="12"/>
        <color rgb="FFFF0000"/>
        <rFont val="微软雅黑"/>
        <family val="2"/>
        <charset val="134"/>
      </rPr>
      <t xml:space="preserve">完整季度在岗，按季度考核
</t>
    </r>
    <r>
      <rPr>
        <b/>
        <sz val="12"/>
        <color theme="1"/>
        <rFont val="微软雅黑"/>
        <family val="2"/>
        <charset val="134"/>
      </rPr>
      <t>3）</t>
    </r>
    <r>
      <rPr>
        <b/>
        <sz val="12"/>
        <color rgb="FFFF0000"/>
        <rFont val="微软雅黑"/>
        <family val="2"/>
        <charset val="134"/>
      </rPr>
      <t xml:space="preserve">季度内 主岗 异动，属于非完整季度在岗，按月度考核
</t>
    </r>
    <r>
      <rPr>
        <b/>
        <sz val="12"/>
        <color theme="1"/>
        <rFont val="微软雅黑"/>
        <family val="2"/>
        <charset val="134"/>
      </rPr>
      <t xml:space="preserve">（季度考核：a、季度达标，最后一个月未达标，不进入汰换区；b、季度未达标，最后一个月达标，进入汰换区）
</t>
    </r>
    <r>
      <rPr>
        <sz val="12"/>
        <color theme="1"/>
        <rFont val="微软雅黑"/>
        <family val="2"/>
        <charset val="134"/>
      </rPr>
      <t>4、</t>
    </r>
    <r>
      <rPr>
        <b/>
        <sz val="12"/>
        <color rgb="FFFF0000"/>
        <rFont val="微软雅黑"/>
        <family val="2"/>
        <charset val="134"/>
      </rPr>
      <t>儿童乳品组26年4月1日取消月度考核</t>
    </r>
    <r>
      <rPr>
        <b/>
        <u/>
        <sz val="12"/>
        <color rgb="FFFF0000"/>
        <rFont val="微软雅黑"/>
        <family val="2"/>
        <charset val="134"/>
      </rPr>
      <t xml:space="preserve">
</t>
    </r>
    <r>
      <rPr>
        <sz val="12"/>
        <color rgb="FF0F1115"/>
        <rFont val="微软雅黑"/>
        <family val="2"/>
        <charset val="134"/>
      </rPr>
      <t xml:space="preserve">
5、汰换特批 </t>
    </r>
    <r>
      <rPr>
        <b/>
        <sz val="14"/>
        <color rgb="FFFF0000"/>
        <rFont val="微软雅黑"/>
        <family val="2"/>
        <charset val="134"/>
      </rPr>
      <t>每月截止时间：15号</t>
    </r>
    <phoneticPr fontId="61" type="noConversion"/>
  </si>
  <si>
    <r>
      <t>2、末位淘汰 汰换：</t>
    </r>
    <r>
      <rPr>
        <sz val="12"/>
        <color theme="1"/>
        <rFont val="微软雅黑"/>
        <family val="2"/>
        <charset val="134"/>
      </rPr>
      <t>季度 目标达成率排名为同产品组排名最后一名且&lt;100%
（</t>
    </r>
    <r>
      <rPr>
        <i/>
        <sz val="12"/>
        <color rgb="FFFF0000"/>
        <rFont val="微软雅黑"/>
        <family val="2"/>
        <charset val="134"/>
      </rPr>
      <t>假如此季度组内已有大区总监汰换那就不生效</t>
    </r>
    <r>
      <rPr>
        <sz val="12"/>
        <color theme="1"/>
        <rFont val="微软雅黑"/>
        <family val="2"/>
        <charset val="134"/>
      </rPr>
      <t>）</t>
    </r>
  </si>
  <si>
    <t>/</t>
  </si>
  <si>
    <r>
      <rPr>
        <b/>
        <sz val="12"/>
        <color theme="1"/>
        <rFont val="微软雅黑"/>
        <family val="2"/>
        <charset val="134"/>
      </rPr>
      <t>月度考核</t>
    </r>
    <r>
      <rPr>
        <sz val="12"/>
        <color theme="1"/>
        <rFont val="微软雅黑"/>
        <family val="2"/>
        <charset val="134"/>
      </rPr>
      <t xml:space="preserve">
</t>
    </r>
    <r>
      <rPr>
        <sz val="11"/>
        <color theme="1"/>
        <rFont val="微软雅黑"/>
        <family val="2"/>
        <charset val="134"/>
      </rPr>
      <t>（完整月度在岗）</t>
    </r>
  </si>
  <si>
    <t>月度目标达成率</t>
  </si>
  <si>
    <t>月度≥50%</t>
  </si>
  <si>
    <r>
      <rPr>
        <b/>
        <sz val="12"/>
        <color theme="1"/>
        <rFont val="微软雅黑"/>
        <family val="2"/>
        <charset val="134"/>
      </rPr>
      <t>1、不达标 汰换：</t>
    </r>
    <r>
      <rPr>
        <sz val="12"/>
        <color theme="1"/>
        <rFont val="微软雅黑"/>
        <family val="2"/>
        <charset val="134"/>
      </rPr>
      <t>月度 目标达成率&lt;50%</t>
    </r>
  </si>
  <si>
    <r>
      <t xml:space="preserve">2026/1/1
</t>
    </r>
    <r>
      <rPr>
        <sz val="10"/>
        <color theme="1"/>
        <rFont val="微软雅黑"/>
        <family val="2"/>
        <charset val="134"/>
      </rPr>
      <t>（26年1月执行）</t>
    </r>
    <phoneticPr fontId="55" type="noConversion"/>
  </si>
  <si>
    <r>
      <rPr>
        <b/>
        <sz val="12"/>
        <color theme="1"/>
        <rFont val="微软雅黑"/>
        <family val="2"/>
        <charset val="134"/>
      </rPr>
      <t>2、不达标 汰换：</t>
    </r>
    <r>
      <rPr>
        <sz val="12"/>
        <color theme="1"/>
        <rFont val="微软雅黑"/>
        <family val="2"/>
        <charset val="134"/>
      </rPr>
      <t>季度 目标达成率&lt;50%</t>
    </r>
    <phoneticPr fontId="55" type="noConversion"/>
  </si>
  <si>
    <r>
      <t xml:space="preserve">2026/1/1
</t>
    </r>
    <r>
      <rPr>
        <sz val="10"/>
        <color theme="1"/>
        <rFont val="微软雅黑"/>
        <family val="2"/>
        <charset val="134"/>
      </rPr>
      <t>（26年Q1执行）</t>
    </r>
    <phoneticPr fontId="55" type="noConversion"/>
  </si>
  <si>
    <r>
      <t>3、末位淘汰 汰换：</t>
    </r>
    <r>
      <rPr>
        <sz val="12"/>
        <color theme="1"/>
        <rFont val="微软雅黑"/>
        <family val="2"/>
        <charset val="134"/>
      </rPr>
      <t>季度 目标达成率排名为大区内排名最后一名且&lt;100%
（</t>
    </r>
    <r>
      <rPr>
        <i/>
        <sz val="12"/>
        <color rgb="FFFF0000"/>
        <rFont val="微软雅黑"/>
        <family val="2"/>
        <charset val="134"/>
      </rPr>
      <t>假如此季度大区内已有省区总监汰换那就不生效</t>
    </r>
    <r>
      <rPr>
        <sz val="12"/>
        <color theme="1"/>
        <rFont val="微软雅黑"/>
        <family val="2"/>
        <charset val="134"/>
      </rPr>
      <t>）</t>
    </r>
    <phoneticPr fontId="55" type="noConversion"/>
  </si>
  <si>
    <r>
      <rPr>
        <b/>
        <sz val="12"/>
        <color theme="1"/>
        <rFont val="微软雅黑"/>
        <family val="2"/>
        <charset val="134"/>
      </rPr>
      <t>3、末位淘汰 汰换：</t>
    </r>
    <r>
      <rPr>
        <sz val="12"/>
        <color theme="1"/>
        <rFont val="微软雅黑"/>
        <family val="2"/>
        <charset val="134"/>
      </rPr>
      <t>季度 目标达成率排名为大区内排名最后一名且&lt;100%
（</t>
    </r>
    <r>
      <rPr>
        <i/>
        <sz val="12"/>
        <color rgb="FFFF0000"/>
        <rFont val="微软雅黑"/>
        <family val="2"/>
        <charset val="134"/>
      </rPr>
      <t>假如此季度大区内已有区域总监汰换那就不生效</t>
    </r>
    <r>
      <rPr>
        <sz val="12"/>
        <color theme="1"/>
        <rFont val="微软雅黑"/>
        <family val="2"/>
        <charset val="134"/>
      </rPr>
      <t>）</t>
    </r>
    <phoneticPr fontId="55" type="noConversion"/>
  </si>
  <si>
    <r>
      <rPr>
        <b/>
        <sz val="12"/>
        <color theme="1"/>
        <rFont val="微软雅黑"/>
        <family val="2"/>
        <charset val="134"/>
      </rPr>
      <t>4、不达标 汰换：</t>
    </r>
    <r>
      <rPr>
        <sz val="12"/>
        <color theme="1"/>
        <rFont val="微软雅黑"/>
        <family val="2"/>
        <charset val="134"/>
      </rPr>
      <t xml:space="preserve">连续两个季度 目标达成率&lt;75% </t>
    </r>
    <phoneticPr fontId="55" type="noConversion"/>
  </si>
  <si>
    <r>
      <rPr>
        <b/>
        <sz val="12"/>
        <color theme="1"/>
        <rFont val="微软雅黑"/>
        <family val="2"/>
        <charset val="134"/>
      </rPr>
      <t>1、不达标 汰换：</t>
    </r>
    <r>
      <rPr>
        <sz val="12"/>
        <color theme="1"/>
        <rFont val="微软雅黑"/>
        <family val="2"/>
        <charset val="134"/>
      </rPr>
      <t>月度 目标达成率&lt;50%</t>
    </r>
    <phoneticPr fontId="55" type="noConversion"/>
  </si>
  <si>
    <r>
      <rPr>
        <b/>
        <sz val="12"/>
        <color theme="1"/>
        <rFont val="微软雅黑"/>
        <family val="2"/>
        <charset val="134"/>
      </rPr>
      <t>3、不达标 汰换：</t>
    </r>
    <r>
      <rPr>
        <sz val="12"/>
        <color theme="1"/>
        <rFont val="微软雅黑"/>
        <family val="2"/>
        <charset val="134"/>
      </rPr>
      <t xml:space="preserve">连续两个季度 目标达成率&lt;50% </t>
    </r>
    <phoneticPr fontId="55" type="noConversion"/>
  </si>
  <si>
    <r>
      <t xml:space="preserve">2026/3/1
</t>
    </r>
    <r>
      <rPr>
        <sz val="10"/>
        <color theme="1"/>
        <rFont val="微软雅黑"/>
        <family val="2"/>
        <charset val="134"/>
      </rPr>
      <t>（26年Q2执行）</t>
    </r>
    <phoneticPr fontId="55" type="noConversion"/>
  </si>
  <si>
    <r>
      <t>各组别内</t>
    </r>
    <r>
      <rPr>
        <b/>
        <sz val="14"/>
        <color rgb="FFFF0000"/>
        <rFont val="微软雅黑"/>
        <family val="2"/>
        <charset val="134"/>
      </rPr>
      <t xml:space="preserve"> 大区总监空岗</t>
    </r>
    <r>
      <rPr>
        <sz val="12"/>
        <color theme="1"/>
        <rFont val="微软雅黑"/>
        <family val="2"/>
        <charset val="134"/>
      </rPr>
      <t xml:space="preserve">，各考核岗位 月度考核、单季度考核、双季度考核 </t>
    </r>
    <r>
      <rPr>
        <b/>
        <sz val="12"/>
        <color theme="1"/>
        <rFont val="微软雅黑"/>
        <family val="2"/>
        <charset val="134"/>
      </rPr>
      <t>不达标 汰换</t>
    </r>
  </si>
  <si>
    <t>区域经理</t>
    <phoneticPr fontId="55" type="noConversion"/>
  </si>
  <si>
    <t>全国销售总监</t>
    <phoneticPr fontId="55" type="noConversion"/>
  </si>
  <si>
    <r>
      <rPr>
        <sz val="20"/>
        <color rgb="FFFF0000"/>
        <rFont val="微软雅黑"/>
        <family val="2"/>
        <charset val="134"/>
      </rPr>
      <t>个人考核目标 分为 主岗目标 和兼岗目标，分开计算达成</t>
    </r>
    <r>
      <rPr>
        <sz val="20"/>
        <color rgb="FF000000"/>
        <rFont val="微软雅黑"/>
        <family val="2"/>
        <charset val="134"/>
      </rPr>
      <t xml:space="preserve">
（兼岗目标不折算）</t>
    </r>
    <phoneticPr fontId="28" type="noConversion"/>
  </si>
  <si>
    <t>个人考核目标分为异动前岗位目标和异动后岗位目标
分开计算达成
（异动前后岗位目标不折算）</t>
    <phoneticPr fontId="28" type="noConversion"/>
  </si>
  <si>
    <r>
      <rPr>
        <sz val="20"/>
        <color rgb="FFFF0000"/>
        <rFont val="微软雅黑"/>
        <family val="2"/>
        <charset val="134"/>
      </rPr>
      <t>个人考核目标分为异动前岗位目标和异动后岗位目标
分开计算达成</t>
    </r>
    <r>
      <rPr>
        <sz val="20"/>
        <color rgb="FF000000"/>
        <rFont val="微软雅黑"/>
        <family val="2"/>
        <charset val="134"/>
      </rPr>
      <t xml:space="preserve">
（异动前后岗位目标不折算）</t>
    </r>
    <phoneticPr fontId="28" type="noConversion"/>
  </si>
  <si>
    <r>
      <rPr>
        <b/>
        <sz val="18"/>
        <color rgb="FFFF0000"/>
        <rFont val="微软雅黑"/>
        <family val="2"/>
        <charset val="134"/>
      </rPr>
      <t>月度、季度目标达成率考核</t>
    </r>
    <r>
      <rPr>
        <sz val="14"/>
        <color rgb="FFFF0000"/>
        <rFont val="微软雅黑"/>
        <family val="2"/>
        <charset val="134"/>
      </rPr>
      <t xml:space="preserve">
</t>
    </r>
    <r>
      <rPr>
        <b/>
        <sz val="14"/>
        <color rgb="FFFF0000"/>
        <rFont val="微软雅黑"/>
        <family val="2"/>
        <charset val="134"/>
      </rPr>
      <t>考核对象</t>
    </r>
    <r>
      <rPr>
        <sz val="14"/>
        <color rgb="FFFF0000"/>
        <rFont val="微软雅黑"/>
        <family val="2"/>
        <charset val="134"/>
      </rPr>
      <t xml:space="preserve">：全国销售总监 &amp; 大区总监
</t>
    </r>
    <r>
      <rPr>
        <b/>
        <sz val="14"/>
        <color rgb="FFFF0000"/>
        <rFont val="微软雅黑"/>
        <family val="2"/>
        <charset val="134"/>
      </rPr>
      <t>产品组</t>
    </r>
    <r>
      <rPr>
        <sz val="14"/>
        <color rgb="FFFF0000"/>
        <rFont val="微软雅黑"/>
        <family val="2"/>
        <charset val="134"/>
      </rPr>
      <t>：全组别
考核</t>
    </r>
    <r>
      <rPr>
        <b/>
        <sz val="14"/>
        <color rgb="FFFF0000"/>
        <rFont val="微软雅黑"/>
        <family val="2"/>
        <charset val="134"/>
      </rPr>
      <t>项目</t>
    </r>
    <r>
      <rPr>
        <sz val="14"/>
        <color rgb="FFFF0000"/>
        <rFont val="微软雅黑"/>
        <family val="2"/>
        <charset val="134"/>
      </rPr>
      <t xml:space="preserve">：月度、季度目标达成率
</t>
    </r>
    <r>
      <rPr>
        <b/>
        <sz val="14"/>
        <color rgb="FFFF0000"/>
        <rFont val="微软雅黑"/>
        <family val="2"/>
        <charset val="134"/>
      </rPr>
      <t>考核周期</t>
    </r>
    <r>
      <rPr>
        <sz val="14"/>
        <color rgb="FFFF0000"/>
        <rFont val="微软雅黑"/>
        <family val="2"/>
        <charset val="134"/>
      </rPr>
      <t xml:space="preserve">：月度、自然季度
</t>
    </r>
    <r>
      <rPr>
        <b/>
        <sz val="14"/>
        <color rgb="FFFF0000"/>
        <rFont val="微软雅黑"/>
        <family val="2"/>
        <charset val="134"/>
      </rPr>
      <t>考核内容：</t>
    </r>
    <r>
      <rPr>
        <sz val="14"/>
        <color rgb="FFFF0000"/>
        <rFont val="微软雅黑"/>
        <family val="2"/>
        <charset val="134"/>
      </rPr>
      <t xml:space="preserve">
1、月度目标达成率 &lt; 85%，申诫1次
2、季度目标达成率 &lt; 75%，小过1次
</t>
    </r>
    <r>
      <rPr>
        <b/>
        <sz val="14"/>
        <color rgb="FFFF0000"/>
        <rFont val="微软雅黑"/>
        <family val="2"/>
        <charset val="134"/>
      </rPr>
      <t>说明：</t>
    </r>
    <r>
      <rPr>
        <sz val="14"/>
        <color rgb="FFFF0000"/>
        <rFont val="微软雅黑"/>
        <family val="2"/>
        <charset val="134"/>
      </rPr>
      <t xml:space="preserve">
目标达成率考核：主兼岗分开考核</t>
    </r>
    <phoneticPr fontId="61" type="noConversion"/>
  </si>
  <si>
    <r>
      <rPr>
        <b/>
        <sz val="12"/>
        <color theme="1"/>
        <rFont val="微软雅黑"/>
        <family val="2"/>
        <charset val="134"/>
      </rPr>
      <t>4、不达标 汰换：</t>
    </r>
    <r>
      <rPr>
        <sz val="12"/>
        <color theme="1"/>
        <rFont val="微软雅黑"/>
        <family val="2"/>
        <charset val="134"/>
      </rPr>
      <t xml:space="preserve">连续两个季度 目标达成率&lt;75% </t>
    </r>
    <phoneticPr fontId="28" type="noConversion"/>
  </si>
  <si>
    <t>1、正常每月15号前进行目标设置
2、新入职合伙人 入职5天内设置目标
3、合伙人目标设置需选到对应的营业所设置目标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</si>
</sst>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76" formatCode="#,##0_ ;[Red]\-#,##0\ "/>
    <numFmt numFmtId="177" formatCode="0.00_ ;[Red]\-0.00\ "/>
    <numFmt numFmtId="178" formatCode="_(* #,##0_);_(* \(#,##0\);_(* &quot;-&quot;??_);_(@_)"/>
    <numFmt numFmtId="179" formatCode="0.0%"/>
    <numFmt numFmtId="180" formatCode="0_);[Red]\(0\)"/>
    <numFmt numFmtId="181" formatCode="yyyy/m/d;@"/>
  </numFmts>
  <fonts count="71">
    <font>
      <sz val="12"/>
      <color theme="1"/>
      <name val="等线"/>
    </font>
    <font>
      <b/>
      <sz val="11"/>
      <color rgb="FFFFFFFF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12"/>
      <color theme="1"/>
      <name val="等线"/>
      <family val="4"/>
      <charset val="134"/>
    </font>
    <font>
      <sz val="12"/>
      <color theme="0"/>
      <name val="等线"/>
      <family val="4"/>
      <charset val="134"/>
    </font>
    <font>
      <b/>
      <sz val="15"/>
      <color theme="3"/>
      <name val="等线"/>
      <family val="4"/>
      <charset val="134"/>
    </font>
    <font>
      <b/>
      <sz val="11"/>
      <color theme="3"/>
      <name val="等线"/>
      <family val="4"/>
      <charset val="134"/>
    </font>
    <font>
      <sz val="18"/>
      <color theme="3"/>
      <name val="等线 Light"/>
      <family val="4"/>
      <charset val="134"/>
    </font>
    <font>
      <b/>
      <sz val="13"/>
      <color theme="3"/>
      <name val="等线"/>
      <family val="4"/>
      <charset val="134"/>
    </font>
    <font>
      <sz val="12"/>
      <color rgb="FF9C0006"/>
      <name val="等线"/>
      <family val="4"/>
      <charset val="134"/>
    </font>
    <font>
      <i/>
      <sz val="12"/>
      <color rgb="FF7F7F7F"/>
      <name val="等线"/>
      <family val="4"/>
      <charset val="134"/>
    </font>
    <font>
      <sz val="12"/>
      <color rgb="FFFF0000"/>
      <name val="等线"/>
      <family val="4"/>
      <charset val="134"/>
    </font>
    <font>
      <b/>
      <sz val="12"/>
      <color theme="0"/>
      <name val="等线"/>
      <family val="4"/>
      <charset val="134"/>
    </font>
    <font>
      <b/>
      <sz val="12"/>
      <color rgb="FFFA7D00"/>
      <name val="等线"/>
      <family val="4"/>
      <charset val="134"/>
    </font>
    <font>
      <b/>
      <sz val="12"/>
      <color theme="1"/>
      <name val="等线"/>
      <family val="4"/>
      <charset val="134"/>
    </font>
    <font>
      <sz val="12"/>
      <color rgb="FF006100"/>
      <name val="等线"/>
      <family val="4"/>
      <charset val="134"/>
    </font>
    <font>
      <sz val="12"/>
      <color rgb="FFFA7D00"/>
      <name val="等线"/>
      <family val="4"/>
      <charset val="134"/>
    </font>
    <font>
      <sz val="12"/>
      <color rgb="FF9C5700"/>
      <name val="等线"/>
      <family val="4"/>
      <charset val="134"/>
    </font>
    <font>
      <b/>
      <sz val="12"/>
      <color rgb="FF3F3F3F"/>
      <name val="等线"/>
      <family val="4"/>
      <charset val="134"/>
    </font>
    <font>
      <sz val="12"/>
      <color rgb="FF3F3F76"/>
      <name val="等线"/>
      <family val="4"/>
      <charset val="134"/>
    </font>
    <font>
      <sz val="9"/>
      <name val="FangSong"/>
      <family val="3"/>
      <charset val="134"/>
    </font>
    <font>
      <sz val="12"/>
      <color theme="1"/>
      <name val="等线"/>
      <family val="4"/>
      <charset val="134"/>
    </font>
    <font>
      <sz val="8"/>
      <color theme="1"/>
      <name val="微软雅黑"/>
      <family val="2"/>
      <charset val="134"/>
    </font>
    <font>
      <sz val="8"/>
      <color theme="0"/>
      <name val="微软雅黑"/>
      <family val="2"/>
      <charset val="134"/>
    </font>
    <font>
      <sz val="11"/>
      <color indexed="8"/>
      <name val="等线"/>
      <family val="2"/>
      <scheme val="minor"/>
    </font>
    <font>
      <sz val="20"/>
      <color theme="1"/>
      <name val="微软雅黑"/>
      <family val="2"/>
      <charset val="134"/>
    </font>
    <font>
      <sz val="20"/>
      <color rgb="FFFF0000"/>
      <name val="微软雅黑"/>
      <family val="2"/>
      <charset val="134"/>
    </font>
    <font>
      <b/>
      <sz val="20"/>
      <color theme="1"/>
      <name val="微软雅黑"/>
      <family val="2"/>
      <charset val="134"/>
    </font>
    <font>
      <b/>
      <sz val="18"/>
      <color rgb="FFFFFFFF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sz val="20"/>
      <color rgb="FF000000"/>
      <name val="微软雅黑"/>
      <family val="2"/>
      <charset val="134"/>
    </font>
    <font>
      <b/>
      <sz val="20"/>
      <color rgb="FF000000"/>
      <name val="微软雅黑"/>
      <family val="2"/>
      <charset val="134"/>
    </font>
    <font>
      <sz val="20"/>
      <name val="微软雅黑"/>
      <family val="2"/>
      <charset val="134"/>
    </font>
    <font>
      <sz val="20"/>
      <color theme="1"/>
      <name val="等线"/>
      <family val="4"/>
      <charset val="134"/>
    </font>
    <font>
      <sz val="14"/>
      <color theme="1"/>
      <name val="微软雅黑"/>
      <family val="2"/>
      <charset val="134"/>
    </font>
    <font>
      <sz val="12"/>
      <color theme="1"/>
      <name val="等线"/>
      <family val="4"/>
      <charset val="134"/>
      <scheme val="minor"/>
    </font>
    <font>
      <b/>
      <sz val="18"/>
      <color theme="0"/>
      <name val="微软雅黑"/>
      <family val="2"/>
      <charset val="134"/>
    </font>
    <font>
      <b/>
      <sz val="15"/>
      <color theme="0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b/>
      <sz val="12"/>
      <color rgb="FF0F1115"/>
      <name val="微软雅黑"/>
      <family val="2"/>
      <charset val="134"/>
    </font>
    <font>
      <sz val="12"/>
      <color rgb="FF0F1115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i/>
      <sz val="12"/>
      <color rgb="FFFF000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sz val="12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28"/>
      <color theme="1"/>
      <name val="微软雅黑"/>
      <family val="2"/>
      <charset val="134"/>
    </font>
    <font>
      <b/>
      <sz val="28"/>
      <color theme="1"/>
      <name val="Apple Color Emoji"/>
      <family val="2"/>
      <charset val="134"/>
    </font>
    <font>
      <sz val="16"/>
      <color theme="1"/>
      <name val="微软雅黑"/>
      <family val="2"/>
      <charset val="134"/>
    </font>
    <font>
      <b/>
      <u/>
      <sz val="12"/>
      <color rgb="FFFF0000"/>
      <name val="微软雅黑"/>
      <family val="2"/>
      <charset val="134"/>
    </font>
    <font>
      <sz val="9"/>
      <name val="等线"/>
      <family val="4"/>
      <charset val="134"/>
      <scheme val="minor"/>
    </font>
    <font>
      <b/>
      <sz val="28"/>
      <color theme="0"/>
      <name val="微软雅黑"/>
      <family val="2"/>
      <charset val="134"/>
    </font>
    <font>
      <b/>
      <sz val="28"/>
      <color theme="1"/>
      <name val="Apple Color Emoji"/>
      <family val="2"/>
    </font>
    <font>
      <sz val="28"/>
      <color theme="1"/>
      <name val="Apple Color Emoji"/>
      <family val="2"/>
    </font>
    <font>
      <b/>
      <sz val="16"/>
      <color theme="0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0"/>
      <color rgb="FF000000"/>
      <name val="Microsoft YaHei UI"/>
      <family val="2"/>
      <charset val="134"/>
    </font>
    <font>
      <b/>
      <sz val="10"/>
      <color rgb="FF000000"/>
      <name val="Microsoft YaHei UI"/>
      <family val="2"/>
      <charset val="134"/>
    </font>
    <font>
      <sz val="14"/>
      <color rgb="FFFF0000"/>
      <name val="微软雅黑"/>
      <family val="2"/>
      <charset val="134"/>
    </font>
    <font>
      <b/>
      <sz val="18"/>
      <color rgb="FFFF0000"/>
      <name val="微软雅黑"/>
      <family val="2"/>
      <charset val="134"/>
    </font>
  </fonts>
  <fills count="4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0070C0"/>
      </patternFill>
    </fill>
    <fill>
      <patternFill patternType="none"/>
    </fill>
    <fill>
      <patternFill patternType="none"/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24991607409894101"/>
      </left>
      <right style="thin">
        <color theme="0" tint="-0.24991607409894101"/>
      </right>
      <top style="thin">
        <color theme="0" tint="-0.24991607409894101"/>
      </top>
      <bottom style="thin">
        <color theme="0" tint="-0.2499160740989410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954222235786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50">
    <xf numFmtId="0" fontId="0" fillId="0" borderId="16">
      <alignment vertical="center"/>
    </xf>
    <xf numFmtId="0" fontId="11" fillId="14" borderId="16" applyNumberFormat="0" applyBorder="0" applyAlignment="0" applyProtection="0"/>
    <xf numFmtId="0" fontId="11" fillId="15" borderId="16" applyNumberFormat="0" applyBorder="0" applyAlignment="0" applyProtection="0"/>
    <xf numFmtId="0" fontId="12" fillId="3" borderId="16" applyNumberFormat="0" applyBorder="0" applyAlignment="0" applyProtection="0"/>
    <xf numFmtId="0" fontId="11" fillId="4" borderId="16" applyNumberFormat="0" applyBorder="0" applyAlignment="0" applyProtection="0"/>
    <xf numFmtId="0" fontId="12" fillId="16" borderId="16" applyNumberFormat="0" applyBorder="0" applyAlignment="0" applyProtection="0"/>
    <xf numFmtId="0" fontId="11" fillId="17" borderId="16" applyNumberFormat="0" applyBorder="0" applyAlignment="0" applyProtection="0"/>
    <xf numFmtId="0" fontId="12" fillId="18" borderId="16" applyNumberFormat="0" applyBorder="0" applyAlignment="0" applyProtection="0"/>
    <xf numFmtId="0" fontId="11" fillId="19" borderId="16" applyNumberFormat="0" applyBorder="0" applyAlignment="0" applyProtection="0"/>
    <xf numFmtId="0" fontId="12" fillId="20" borderId="16" applyNumberFormat="0" applyBorder="0" applyAlignment="0" applyProtection="0"/>
    <xf numFmtId="0" fontId="11" fillId="21" borderId="16" applyNumberFormat="0" applyBorder="0" applyAlignment="0" applyProtection="0"/>
    <xf numFmtId="0" fontId="11" fillId="22" borderId="17" applyNumberFormat="0" applyAlignment="0" applyProtection="0"/>
    <xf numFmtId="0" fontId="11" fillId="23" borderId="16" applyNumberFormat="0" applyBorder="0" applyAlignment="0" applyProtection="0"/>
    <xf numFmtId="0" fontId="12" fillId="24" borderId="16" applyNumberFormat="0" applyBorder="0" applyAlignment="0" applyProtection="0"/>
    <xf numFmtId="0" fontId="12" fillId="2" borderId="16" applyNumberFormat="0" applyBorder="0" applyAlignment="0" applyProtection="0"/>
    <xf numFmtId="0" fontId="11" fillId="25" borderId="16" applyNumberFormat="0" applyBorder="0" applyAlignment="0" applyProtection="0"/>
    <xf numFmtId="0" fontId="11" fillId="26" borderId="16" applyNumberFormat="0" applyBorder="0" applyAlignment="0" applyProtection="0"/>
    <xf numFmtId="0" fontId="11" fillId="27" borderId="16" applyNumberFormat="0" applyBorder="0" applyAlignment="0" applyProtection="0"/>
    <xf numFmtId="0" fontId="11" fillId="28" borderId="16" applyNumberFormat="0" applyBorder="0" applyAlignment="0" applyProtection="0"/>
    <xf numFmtId="9" fontId="11" fillId="12" borderId="16" applyFill="0" applyBorder="0" applyAlignment="0" applyProtection="0"/>
    <xf numFmtId="0" fontId="13" fillId="12" borderId="18" applyNumberFormat="0" applyFill="0" applyAlignment="0" applyProtection="0"/>
    <xf numFmtId="0" fontId="14" fillId="12" borderId="19" applyNumberFormat="0" applyFill="0" applyAlignment="0" applyProtection="0"/>
    <xf numFmtId="0" fontId="11" fillId="29" borderId="16" applyNumberFormat="0" applyBorder="0" applyAlignment="0" applyProtection="0"/>
    <xf numFmtId="0" fontId="15" fillId="12" borderId="16" applyNumberFormat="0" applyFill="0" applyBorder="0" applyAlignment="0" applyProtection="0"/>
    <xf numFmtId="0" fontId="11" fillId="30" borderId="16" applyNumberFormat="0" applyBorder="0" applyAlignment="0" applyProtection="0"/>
    <xf numFmtId="0" fontId="16" fillId="12" borderId="20" applyNumberFormat="0" applyFill="0" applyAlignment="0" applyProtection="0"/>
    <xf numFmtId="0" fontId="14" fillId="12" borderId="16" applyNumberFormat="0" applyFill="0" applyBorder="0" applyAlignment="0" applyProtection="0"/>
    <xf numFmtId="0" fontId="17" fillId="31" borderId="16" applyNumberFormat="0" applyBorder="0" applyAlignment="0" applyProtection="0"/>
    <xf numFmtId="0" fontId="11" fillId="12" borderId="16">
      <alignment vertical="center"/>
    </xf>
    <xf numFmtId="0" fontId="18" fillId="12" borderId="16" applyNumberFormat="0" applyFill="0" applyBorder="0" applyAlignment="0" applyProtection="0"/>
    <xf numFmtId="0" fontId="19" fillId="12" borderId="16" applyNumberFormat="0" applyFill="0" applyBorder="0" applyAlignment="0" applyProtection="0"/>
    <xf numFmtId="0" fontId="20" fillId="32" borderId="21" applyNumberFormat="0" applyAlignment="0" applyProtection="0"/>
    <xf numFmtId="0" fontId="11" fillId="33" borderId="16" applyNumberFormat="0" applyBorder="0" applyAlignment="0" applyProtection="0"/>
    <xf numFmtId="0" fontId="21" fillId="34" borderId="22" applyNumberFormat="0" applyAlignment="0" applyProtection="0"/>
    <xf numFmtId="0" fontId="11" fillId="35" borderId="16" applyNumberFormat="0" applyBorder="0" applyAlignment="0" applyProtection="0"/>
    <xf numFmtId="0" fontId="22" fillId="12" borderId="23" applyNumberFormat="0" applyFill="0" applyAlignment="0" applyProtection="0"/>
    <xf numFmtId="0" fontId="11" fillId="36" borderId="16" applyNumberFormat="0" applyBorder="0" applyAlignment="0" applyProtection="0"/>
    <xf numFmtId="0" fontId="23" fillId="37" borderId="16" applyNumberFormat="0" applyBorder="0" applyAlignment="0" applyProtection="0"/>
    <xf numFmtId="0" fontId="11" fillId="38" borderId="16" applyNumberFormat="0" applyBorder="0" applyAlignment="0" applyProtection="0"/>
    <xf numFmtId="0" fontId="11" fillId="39" borderId="16" applyNumberFormat="0" applyBorder="0" applyAlignment="0" applyProtection="0"/>
    <xf numFmtId="0" fontId="24" fillId="12" borderId="24" applyNumberFormat="0" applyFill="0" applyAlignment="0" applyProtection="0"/>
    <xf numFmtId="0" fontId="25" fillId="40" borderId="16" applyNumberFormat="0" applyBorder="0" applyAlignment="0" applyProtection="0"/>
    <xf numFmtId="0" fontId="26" fillId="34" borderId="25" applyNumberFormat="0" applyAlignment="0" applyProtection="0"/>
    <xf numFmtId="0" fontId="27" fillId="41" borderId="22" applyNumberFormat="0" applyAlignment="0" applyProtection="0"/>
    <xf numFmtId="43" fontId="29" fillId="0" borderId="0" applyFont="0" applyFill="0" applyBorder="0" applyAlignment="0" applyProtection="0">
      <alignment vertical="center"/>
    </xf>
    <xf numFmtId="0" fontId="32" fillId="13" borderId="16">
      <alignment vertical="center"/>
    </xf>
    <xf numFmtId="9" fontId="32" fillId="13" borderId="16" applyFont="0" applyFill="0" applyBorder="0" applyAlignment="0" applyProtection="0">
      <alignment vertical="center"/>
    </xf>
    <xf numFmtId="43" fontId="32" fillId="13" borderId="16" applyFont="0" applyFill="0" applyBorder="0" applyAlignment="0" applyProtection="0">
      <alignment vertical="center"/>
    </xf>
    <xf numFmtId="0" fontId="44" fillId="13" borderId="16">
      <alignment vertical="center"/>
    </xf>
    <xf numFmtId="0" fontId="44" fillId="13" borderId="16">
      <alignment vertical="center"/>
    </xf>
  </cellStyleXfs>
  <cellXfs count="291">
    <xf numFmtId="0" fontId="0" fillId="0" borderId="0" xfId="0" applyBorder="1">
      <alignment vertical="center"/>
    </xf>
    <xf numFmtId="0" fontId="1" fillId="2" borderId="1" xfId="28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38" fontId="3" fillId="0" borderId="1" xfId="0" applyNumberFormat="1" applyFont="1" applyBorder="1" applyAlignment="1">
      <alignment horizontal="center" vertical="center"/>
    </xf>
    <xf numFmtId="9" fontId="3" fillId="12" borderId="1" xfId="19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8" fontId="4" fillId="0" borderId="1" xfId="0" applyNumberFormat="1" applyFont="1" applyBorder="1" applyAlignment="1">
      <alignment horizontal="center" vertical="center"/>
    </xf>
    <xf numFmtId="9" fontId="4" fillId="12" borderId="1" xfId="19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9" fontId="7" fillId="12" borderId="3" xfId="19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9" fontId="5" fillId="4" borderId="3" xfId="19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4" fillId="0" borderId="16" xfId="0" applyFont="1" applyAlignment="1">
      <alignment horizontal="center" vertical="center"/>
    </xf>
    <xf numFmtId="176" fontId="4" fillId="0" borderId="16" xfId="0" applyNumberFormat="1" applyFont="1" applyAlignment="1">
      <alignment horizontal="center" vertical="center"/>
    </xf>
    <xf numFmtId="9" fontId="4" fillId="12" borderId="16" xfId="19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7" fillId="0" borderId="16" xfId="0" applyFo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38" fontId="9" fillId="0" borderId="8" xfId="0" applyNumberFormat="1" applyFont="1" applyBorder="1" applyAlignment="1">
      <alignment horizontal="center" vertical="center"/>
    </xf>
    <xf numFmtId="49" fontId="8" fillId="7" borderId="9" xfId="0" applyNumberFormat="1" applyFont="1" applyFill="1" applyBorder="1" applyAlignment="1">
      <alignment horizontal="center" vertical="center"/>
    </xf>
    <xf numFmtId="0" fontId="3" fillId="0" borderId="16" xfId="0" applyFont="1" applyAlignment="1">
      <alignment horizontal="center" vertical="center"/>
    </xf>
    <xf numFmtId="0" fontId="7" fillId="0" borderId="16" xfId="0" applyFont="1" applyAlignment="1">
      <alignment horizontal="center" vertical="center"/>
    </xf>
    <xf numFmtId="9" fontId="7" fillId="12" borderId="16" xfId="19" applyFont="1" applyAlignment="1">
      <alignment horizontal="center" vertical="center"/>
    </xf>
    <xf numFmtId="176" fontId="9" fillId="0" borderId="16" xfId="0" applyNumberFormat="1" applyFont="1" applyAlignment="1">
      <alignment horizontal="center" vertical="center"/>
    </xf>
    <xf numFmtId="0" fontId="5" fillId="0" borderId="16" xfId="0" applyFont="1" applyAlignment="1">
      <alignment horizontal="center" vertical="center"/>
    </xf>
    <xf numFmtId="9" fontId="5" fillId="12" borderId="16" xfId="19" applyFont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77" fontId="5" fillId="0" borderId="16" xfId="0" applyNumberFormat="1" applyFont="1">
      <alignment vertical="center"/>
    </xf>
    <xf numFmtId="0" fontId="1" fillId="8" borderId="6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38" fontId="8" fillId="0" borderId="8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0" fillId="9" borderId="0" xfId="0" applyFill="1" applyBorder="1">
      <alignment vertical="center"/>
    </xf>
    <xf numFmtId="0" fontId="0" fillId="10" borderId="12" xfId="0" applyFill="1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/>
    </xf>
    <xf numFmtId="1" fontId="0" fillId="0" borderId="0" xfId="0" applyNumberFormat="1" applyBorder="1">
      <alignment vertical="center"/>
    </xf>
    <xf numFmtId="0" fontId="11" fillId="0" borderId="16" xfId="0" applyFont="1">
      <alignment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16" xfId="0" applyFont="1" applyAlignment="1">
      <alignment horizontal="center" vertical="center" wrapText="1"/>
    </xf>
    <xf numFmtId="0" fontId="3" fillId="0" borderId="16" xfId="0" applyFont="1">
      <alignment vertical="center"/>
    </xf>
    <xf numFmtId="9" fontId="3" fillId="12" borderId="16" xfId="19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49" fontId="8" fillId="7" borderId="10" xfId="0" applyNumberFormat="1" applyFont="1" applyFill="1" applyBorder="1" applyAlignment="1">
      <alignment horizontal="center" vertical="center"/>
    </xf>
    <xf numFmtId="49" fontId="8" fillId="7" borderId="13" xfId="0" applyNumberFormat="1" applyFont="1" applyFill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7" fillId="12" borderId="16" xfId="0" applyFont="1" applyFill="1" applyAlignment="1">
      <alignment vertical="center" wrapText="1"/>
    </xf>
    <xf numFmtId="0" fontId="7" fillId="12" borderId="16" xfId="0" applyFont="1" applyFill="1">
      <alignment vertical="center"/>
    </xf>
    <xf numFmtId="0" fontId="7" fillId="12" borderId="16" xfId="0" applyFont="1" applyFill="1" applyAlignment="1">
      <alignment horizontal="center" vertical="center"/>
    </xf>
    <xf numFmtId="0" fontId="4" fillId="12" borderId="16" xfId="0" applyFont="1" applyFill="1">
      <alignment vertical="center"/>
    </xf>
    <xf numFmtId="0" fontId="3" fillId="12" borderId="16" xfId="0" applyFont="1" applyFill="1">
      <alignment vertical="center"/>
    </xf>
    <xf numFmtId="0" fontId="3" fillId="12" borderId="16" xfId="0" applyFont="1" applyFill="1" applyAlignment="1">
      <alignment horizontal="center" vertical="center"/>
    </xf>
    <xf numFmtId="178" fontId="3" fillId="0" borderId="1" xfId="44" applyNumberFormat="1" applyFont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178" fontId="3" fillId="0" borderId="1" xfId="44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8" fontId="4" fillId="0" borderId="1" xfId="44" applyNumberFormat="1" applyFont="1" applyBorder="1" applyAlignment="1">
      <alignment horizontal="center" vertical="center" wrapText="1"/>
    </xf>
    <xf numFmtId="179" fontId="11" fillId="0" borderId="1" xfId="19" applyNumberFormat="1" applyFill="1" applyBorder="1" applyAlignment="1">
      <alignment horizontal="center" vertical="center"/>
    </xf>
    <xf numFmtId="179" fontId="7" fillId="0" borderId="1" xfId="19" applyNumberFormat="1" applyFont="1" applyFill="1" applyBorder="1" applyAlignment="1">
      <alignment horizontal="center" vertical="center"/>
    </xf>
    <xf numFmtId="9" fontId="5" fillId="0" borderId="1" xfId="19" applyFont="1" applyFill="1" applyBorder="1" applyAlignment="1">
      <alignment horizontal="center" vertical="center"/>
    </xf>
    <xf numFmtId="9" fontId="7" fillId="0" borderId="1" xfId="19" applyFont="1" applyFill="1" applyBorder="1" applyAlignment="1">
      <alignment horizontal="center" vertical="center" wrapText="1"/>
    </xf>
    <xf numFmtId="9" fontId="5" fillId="0" borderId="1" xfId="19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0" fillId="0" borderId="16" xfId="0">
      <alignment vertical="center"/>
    </xf>
    <xf numFmtId="0" fontId="7" fillId="12" borderId="16" xfId="0" applyFont="1" applyFill="1" applyAlignment="1">
      <alignment horizontal="center"/>
    </xf>
    <xf numFmtId="1" fontId="7" fillId="12" borderId="16" xfId="0" applyNumberFormat="1" applyFont="1" applyFill="1">
      <alignment vertical="center"/>
    </xf>
    <xf numFmtId="0" fontId="30" fillId="12" borderId="16" xfId="0" applyFont="1" applyFill="1" applyAlignment="1">
      <alignment horizontal="left" vertical="center" wrapText="1"/>
    </xf>
    <xf numFmtId="178" fontId="7" fillId="12" borderId="16" xfId="44" applyNumberFormat="1" applyFont="1" applyFill="1" applyBorder="1">
      <alignment vertical="center"/>
    </xf>
    <xf numFmtId="9" fontId="11" fillId="12" borderId="16" xfId="19" applyFill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>
      <alignment vertical="center"/>
    </xf>
    <xf numFmtId="0" fontId="7" fillId="0" borderId="16" xfId="0" applyFont="1" applyAlignment="1">
      <alignment horizontal="left" vertical="center"/>
    </xf>
    <xf numFmtId="0" fontId="7" fillId="42" borderId="1" xfId="0" applyFont="1" applyFill="1" applyBorder="1" applyAlignment="1">
      <alignment horizontal="center" vertical="center"/>
    </xf>
    <xf numFmtId="0" fontId="7" fillId="4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9" fontId="7" fillId="0" borderId="1" xfId="19" applyFont="1" applyFill="1" applyBorder="1" applyAlignment="1">
      <alignment horizontal="center" vertical="center"/>
    </xf>
    <xf numFmtId="9" fontId="7" fillId="42" borderId="1" xfId="19" applyFont="1" applyFill="1" applyBorder="1" applyAlignment="1">
      <alignment horizontal="center" vertical="center"/>
    </xf>
    <xf numFmtId="0" fontId="33" fillId="0" borderId="14" xfId="0" applyFont="1" applyBorder="1" applyAlignment="1">
      <alignment horizontal="center" vertical="center" wrapText="1"/>
    </xf>
    <xf numFmtId="0" fontId="33" fillId="0" borderId="26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27" xfId="0" applyFont="1" applyBorder="1" applyAlignment="1">
      <alignment horizontal="center" vertical="center" wrapText="1"/>
    </xf>
    <xf numFmtId="0" fontId="35" fillId="0" borderId="16" xfId="0" applyFont="1">
      <alignment vertical="center"/>
    </xf>
    <xf numFmtId="0" fontId="33" fillId="12" borderId="16" xfId="0" applyFont="1" applyFill="1">
      <alignment vertical="center"/>
    </xf>
    <xf numFmtId="0" fontId="33" fillId="12" borderId="10" xfId="0" applyFont="1" applyFill="1" applyBorder="1" applyAlignment="1">
      <alignment vertical="center" wrapText="1"/>
    </xf>
    <xf numFmtId="0" fontId="42" fillId="0" borderId="0" xfId="0" applyFont="1" applyBorder="1">
      <alignment vertical="center"/>
    </xf>
    <xf numFmtId="0" fontId="42" fillId="0" borderId="16" xfId="0" applyFont="1">
      <alignment vertical="center"/>
    </xf>
    <xf numFmtId="0" fontId="33" fillId="12" borderId="1" xfId="0" applyFont="1" applyFill="1" applyBorder="1" applyAlignment="1">
      <alignment vertical="center" wrapText="1"/>
    </xf>
    <xf numFmtId="0" fontId="33" fillId="12" borderId="1" xfId="0" applyFont="1" applyFill="1" applyBorder="1" applyAlignment="1">
      <alignment horizontal="center" vertical="center"/>
    </xf>
    <xf numFmtId="0" fontId="33" fillId="12" borderId="1" xfId="0" applyFont="1" applyFill="1" applyBorder="1" applyAlignment="1">
      <alignment horizontal="center" vertical="center" wrapText="1"/>
    </xf>
    <xf numFmtId="0" fontId="33" fillId="5" borderId="26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left" vertical="center" wrapText="1"/>
    </xf>
    <xf numFmtId="0" fontId="36" fillId="3" borderId="1" xfId="0" applyFont="1" applyFill="1" applyBorder="1" applyAlignment="1">
      <alignment horizontal="center" vertical="center"/>
    </xf>
    <xf numFmtId="0" fontId="39" fillId="0" borderId="1" xfId="0" applyFont="1" applyBorder="1" applyAlignment="1">
      <alignment horizontal="left" vertical="center" wrapText="1"/>
    </xf>
    <xf numFmtId="0" fontId="40" fillId="0" borderId="1" xfId="0" applyFont="1" applyBorder="1" applyAlignment="1">
      <alignment horizontal="left" vertical="center" wrapText="1"/>
    </xf>
    <xf numFmtId="0" fontId="7" fillId="13" borderId="16" xfId="49" applyFont="1">
      <alignment vertical="center"/>
    </xf>
    <xf numFmtId="0" fontId="7" fillId="5" borderId="16" xfId="49" applyFont="1" applyFill="1">
      <alignment vertical="center"/>
    </xf>
    <xf numFmtId="0" fontId="7" fillId="13" borderId="1" xfId="49" applyFont="1" applyBorder="1" applyAlignment="1">
      <alignment horizontal="center" vertical="center" wrapText="1"/>
    </xf>
    <xf numFmtId="0" fontId="7" fillId="13" borderId="14" xfId="49" applyFont="1" applyBorder="1" applyAlignment="1">
      <alignment horizontal="center" vertical="center" wrapText="1"/>
    </xf>
    <xf numFmtId="0" fontId="7" fillId="13" borderId="14" xfId="49" applyFont="1" applyBorder="1" applyAlignment="1">
      <alignment horizontal="left" vertical="center"/>
    </xf>
    <xf numFmtId="181" fontId="7" fillId="13" borderId="27" xfId="49" applyNumberFormat="1" applyFont="1" applyBorder="1" applyAlignment="1">
      <alignment horizontal="center" vertical="center"/>
    </xf>
    <xf numFmtId="0" fontId="7" fillId="13" borderId="1" xfId="49" applyFont="1" applyBorder="1" applyAlignment="1">
      <alignment horizontal="center" vertical="center"/>
    </xf>
    <xf numFmtId="0" fontId="7" fillId="13" borderId="15" xfId="49" applyFont="1" applyBorder="1" applyAlignment="1">
      <alignment horizontal="center" vertical="center" wrapText="1"/>
    </xf>
    <xf numFmtId="0" fontId="7" fillId="13" borderId="7" xfId="49" applyFont="1" applyBorder="1" applyAlignment="1">
      <alignment horizontal="center" vertical="center"/>
    </xf>
    <xf numFmtId="0" fontId="5" fillId="13" borderId="1" xfId="49" applyFont="1" applyBorder="1" applyAlignment="1">
      <alignment vertical="center" wrapText="1"/>
    </xf>
    <xf numFmtId="0" fontId="7" fillId="13" borderId="7" xfId="49" applyFont="1" applyBorder="1" applyAlignment="1">
      <alignment vertical="center" wrapText="1"/>
    </xf>
    <xf numFmtId="181" fontId="7" fillId="13" borderId="26" xfId="49" applyNumberFormat="1" applyFont="1" applyBorder="1" applyAlignment="1">
      <alignment horizontal="center" vertical="center" wrapText="1"/>
    </xf>
    <xf numFmtId="0" fontId="53" fillId="2" borderId="26" xfId="49" applyFont="1" applyFill="1" applyBorder="1" applyAlignment="1">
      <alignment horizontal="center" vertical="center"/>
    </xf>
    <xf numFmtId="0" fontId="53" fillId="2" borderId="43" xfId="49" applyFont="1" applyFill="1" applyBorder="1" applyAlignment="1">
      <alignment horizontal="center" vertical="center"/>
    </xf>
    <xf numFmtId="0" fontId="54" fillId="2" borderId="43" xfId="49" applyFont="1" applyFill="1" applyBorder="1" applyAlignment="1">
      <alignment horizontal="center" vertical="center"/>
    </xf>
    <xf numFmtId="0" fontId="53" fillId="2" borderId="43" xfId="49" applyFont="1" applyFill="1" applyBorder="1">
      <alignment vertical="center"/>
    </xf>
    <xf numFmtId="0" fontId="53" fillId="2" borderId="43" xfId="49" applyFont="1" applyFill="1" applyBorder="1" applyAlignment="1">
      <alignment horizontal="left" vertical="center"/>
    </xf>
    <xf numFmtId="0" fontId="7" fillId="13" borderId="14" xfId="49" applyFont="1" applyBorder="1">
      <alignment vertical="center"/>
    </xf>
    <xf numFmtId="0" fontId="53" fillId="2" borderId="27" xfId="49" applyFont="1" applyFill="1" applyBorder="1" applyAlignment="1">
      <alignment horizontal="center" vertical="center"/>
    </xf>
    <xf numFmtId="0" fontId="53" fillId="2" borderId="4" xfId="49" applyFont="1" applyFill="1" applyBorder="1" applyAlignment="1">
      <alignment horizontal="center" vertical="center"/>
    </xf>
    <xf numFmtId="0" fontId="54" fillId="2" borderId="4" xfId="49" applyFont="1" applyFill="1" applyBorder="1" applyAlignment="1">
      <alignment horizontal="center" vertical="center"/>
    </xf>
    <xf numFmtId="0" fontId="53" fillId="2" borderId="4" xfId="49" applyFont="1" applyFill="1" applyBorder="1">
      <alignment vertical="center"/>
    </xf>
    <xf numFmtId="0" fontId="53" fillId="2" borderId="4" xfId="49" applyFont="1" applyFill="1" applyBorder="1" applyAlignment="1">
      <alignment horizontal="left" vertical="center"/>
    </xf>
    <xf numFmtId="181" fontId="7" fillId="13" borderId="26" xfId="49" applyNumberFormat="1" applyFont="1" applyBorder="1" applyAlignment="1">
      <alignment horizontal="center" vertical="center"/>
    </xf>
    <xf numFmtId="0" fontId="7" fillId="13" borderId="1" xfId="49" applyFont="1" applyBorder="1" applyAlignment="1">
      <alignment vertical="center" wrapText="1"/>
    </xf>
    <xf numFmtId="0" fontId="7" fillId="13" borderId="1" xfId="49" applyFont="1" applyBorder="1" applyAlignment="1">
      <alignment horizontal="left" vertical="center"/>
    </xf>
    <xf numFmtId="0" fontId="7" fillId="13" borderId="14" xfId="49" applyFont="1" applyBorder="1" applyAlignment="1">
      <alignment horizontal="center" vertical="center"/>
    </xf>
    <xf numFmtId="0" fontId="45" fillId="5" borderId="16" xfId="49" applyFont="1" applyFill="1" applyAlignment="1">
      <alignment horizontal="center" vertical="center"/>
    </xf>
    <xf numFmtId="0" fontId="46" fillId="5" borderId="41" xfId="49" applyFont="1" applyFill="1" applyBorder="1" applyAlignment="1">
      <alignment horizontal="center" vertical="center"/>
    </xf>
    <xf numFmtId="0" fontId="46" fillId="5" borderId="16" xfId="49" applyFont="1" applyFill="1" applyAlignment="1">
      <alignment horizontal="center" vertical="center"/>
    </xf>
    <xf numFmtId="0" fontId="47" fillId="5" borderId="16" xfId="49" applyFont="1" applyFill="1" applyAlignment="1">
      <alignment horizontal="center" vertical="center"/>
    </xf>
    <xf numFmtId="0" fontId="56" fillId="3" borderId="14" xfId="49" applyFont="1" applyFill="1" applyBorder="1" applyAlignment="1">
      <alignment horizontal="center" vertical="center"/>
    </xf>
    <xf numFmtId="0" fontId="47" fillId="3" borderId="1" xfId="49" applyFont="1" applyFill="1" applyBorder="1" applyAlignment="1">
      <alignment horizontal="center" vertical="center"/>
    </xf>
    <xf numFmtId="0" fontId="47" fillId="3" borderId="1" xfId="49" applyFont="1" applyFill="1" applyBorder="1" applyAlignment="1">
      <alignment horizontal="center" vertical="center" wrapText="1"/>
    </xf>
    <xf numFmtId="0" fontId="59" fillId="13" borderId="14" xfId="49" applyFont="1" applyBorder="1" applyAlignment="1">
      <alignment horizontal="center" vertical="center"/>
    </xf>
    <xf numFmtId="0" fontId="49" fillId="13" borderId="16" xfId="49" applyFont="1" applyAlignment="1">
      <alignment horizontal="left" vertical="center" wrapText="1"/>
    </xf>
    <xf numFmtId="0" fontId="59" fillId="13" borderId="7" xfId="49" applyFont="1" applyBorder="1" applyAlignment="1">
      <alignment horizontal="center" vertical="center"/>
    </xf>
    <xf numFmtId="0" fontId="62" fillId="2" borderId="26" xfId="49" applyFont="1" applyFill="1" applyBorder="1" applyAlignment="1">
      <alignment horizontal="left" vertical="center"/>
    </xf>
    <xf numFmtId="181" fontId="53" fillId="2" borderId="43" xfId="49" applyNumberFormat="1" applyFont="1" applyFill="1" applyBorder="1" applyAlignment="1">
      <alignment horizontal="center" vertical="center"/>
    </xf>
    <xf numFmtId="0" fontId="63" fillId="5" borderId="15" xfId="49" applyFont="1" applyFill="1" applyBorder="1" applyAlignment="1">
      <alignment horizontal="center" vertical="top"/>
    </xf>
    <xf numFmtId="0" fontId="59" fillId="43" borderId="14" xfId="49" applyFont="1" applyFill="1" applyBorder="1" applyAlignment="1">
      <alignment horizontal="center" vertical="center"/>
    </xf>
    <xf numFmtId="0" fontId="7" fillId="13" borderId="7" xfId="49" applyFont="1" applyBorder="1">
      <alignment vertical="center"/>
    </xf>
    <xf numFmtId="0" fontId="64" fillId="13" borderId="7" xfId="49" applyFont="1" applyBorder="1" applyAlignment="1">
      <alignment horizontal="center" vertical="top"/>
    </xf>
    <xf numFmtId="0" fontId="50" fillId="13" borderId="16" xfId="49" applyFont="1" applyAlignment="1">
      <alignment horizontal="center" vertical="center" wrapText="1"/>
    </xf>
    <xf numFmtId="0" fontId="57" fillId="5" borderId="14" xfId="49" applyFont="1" applyFill="1" applyBorder="1">
      <alignment vertical="center"/>
    </xf>
    <xf numFmtId="0" fontId="63" fillId="5" borderId="15" xfId="49" applyFont="1" applyFill="1" applyBorder="1" applyAlignment="1">
      <alignment horizontal="center" vertical="center"/>
    </xf>
    <xf numFmtId="0" fontId="57" fillId="5" borderId="7" xfId="49" applyFont="1" applyFill="1" applyBorder="1">
      <alignment vertical="center"/>
    </xf>
    <xf numFmtId="0" fontId="62" fillId="2" borderId="27" xfId="49" applyFont="1" applyFill="1" applyBorder="1" applyAlignment="1">
      <alignment horizontal="left" vertical="center"/>
    </xf>
    <xf numFmtId="0" fontId="65" fillId="2" borderId="4" xfId="49" applyFont="1" applyFill="1" applyBorder="1" applyAlignment="1">
      <alignment horizontal="center" vertical="center"/>
    </xf>
    <xf numFmtId="181" fontId="53" fillId="2" borderId="4" xfId="49" applyNumberFormat="1" applyFont="1" applyFill="1" applyBorder="1" applyAlignment="1">
      <alignment horizontal="center" vertical="center"/>
    </xf>
    <xf numFmtId="0" fontId="63" fillId="5" borderId="1" xfId="49" applyFont="1" applyFill="1" applyBorder="1" applyAlignment="1">
      <alignment horizontal="center" vertical="top"/>
    </xf>
    <xf numFmtId="0" fontId="59" fillId="43" borderId="1" xfId="49" applyFont="1" applyFill="1" applyBorder="1" applyAlignment="1">
      <alignment horizontal="center" vertical="center"/>
    </xf>
    <xf numFmtId="0" fontId="65" fillId="2" borderId="43" xfId="49" applyFont="1" applyFill="1" applyBorder="1" applyAlignment="1">
      <alignment horizontal="center" vertical="center"/>
    </xf>
    <xf numFmtId="0" fontId="57" fillId="13" borderId="14" xfId="49" applyFont="1" applyBorder="1" applyAlignment="1">
      <alignment vertical="center" wrapText="1"/>
    </xf>
    <xf numFmtId="0" fontId="57" fillId="13" borderId="15" xfId="49" applyFont="1" applyBorder="1" applyAlignment="1">
      <alignment horizontal="center" vertical="center" wrapText="1"/>
    </xf>
    <xf numFmtId="0" fontId="57" fillId="13" borderId="7" xfId="49" applyFont="1" applyBorder="1" applyAlignment="1">
      <alignment vertical="center" wrapText="1"/>
    </xf>
    <xf numFmtId="0" fontId="53" fillId="2" borderId="27" xfId="49" applyFont="1" applyFill="1" applyBorder="1" applyAlignment="1">
      <alignment horizontal="left" vertical="center"/>
    </xf>
    <xf numFmtId="0" fontId="5" fillId="44" borderId="1" xfId="49" applyFont="1" applyFill="1" applyBorder="1" applyAlignment="1">
      <alignment vertical="center" wrapText="1"/>
    </xf>
    <xf numFmtId="0" fontId="5" fillId="44" borderId="1" xfId="49" applyFont="1" applyFill="1" applyBorder="1">
      <alignment vertical="center"/>
    </xf>
    <xf numFmtId="0" fontId="7" fillId="13" borderId="16" xfId="49" applyFont="1" applyAlignment="1">
      <alignment horizontal="center" vertical="center"/>
    </xf>
    <xf numFmtId="0" fontId="59" fillId="5" borderId="7" xfId="49" applyFont="1" applyFill="1" applyBorder="1" applyAlignment="1">
      <alignment horizontal="center" vertical="center"/>
    </xf>
    <xf numFmtId="0" fontId="59" fillId="5" borderId="1" xfId="49" applyFont="1" applyFill="1" applyBorder="1" applyAlignment="1">
      <alignment horizontal="center" vertical="center"/>
    </xf>
    <xf numFmtId="181" fontId="7" fillId="13" borderId="1" xfId="49" applyNumberFormat="1" applyFont="1" applyBorder="1" applyAlignment="1">
      <alignment horizontal="center" vertical="center"/>
    </xf>
    <xf numFmtId="0" fontId="59" fillId="5" borderId="1" xfId="49" applyFont="1" applyFill="1" applyBorder="1" applyAlignment="1">
      <alignment horizontal="center" vertical="center" wrapText="1"/>
    </xf>
    <xf numFmtId="0" fontId="64" fillId="5" borderId="1" xfId="49" applyFont="1" applyFill="1" applyBorder="1" applyAlignment="1">
      <alignment horizontal="center" vertical="top"/>
    </xf>
    <xf numFmtId="0" fontId="66" fillId="13" borderId="16" xfId="49" applyFont="1">
      <alignment vertical="center"/>
    </xf>
    <xf numFmtId="0" fontId="7" fillId="13" borderId="16" xfId="49" applyFont="1" applyAlignment="1">
      <alignment vertical="center" wrapText="1"/>
    </xf>
    <xf numFmtId="0" fontId="36" fillId="11" borderId="14" xfId="0" applyFont="1" applyFill="1" applyBorder="1" applyAlignment="1">
      <alignment horizontal="center" vertical="center"/>
    </xf>
    <xf numFmtId="0" fontId="36" fillId="11" borderId="7" xfId="0" applyFont="1" applyFill="1" applyBorder="1" applyAlignment="1">
      <alignment horizontal="center" vertical="center"/>
    </xf>
    <xf numFmtId="0" fontId="41" fillId="12" borderId="29" xfId="0" applyFont="1" applyFill="1" applyBorder="1" applyAlignment="1">
      <alignment horizontal="center" vertical="center"/>
    </xf>
    <xf numFmtId="0" fontId="41" fillId="12" borderId="32" xfId="0" applyFont="1" applyFill="1" applyBorder="1" applyAlignment="1">
      <alignment horizontal="center" vertical="center"/>
    </xf>
    <xf numFmtId="0" fontId="41" fillId="12" borderId="13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41" fillId="12" borderId="33" xfId="0" applyFont="1" applyFill="1" applyBorder="1" applyAlignment="1">
      <alignment horizontal="center" vertical="center"/>
    </xf>
    <xf numFmtId="0" fontId="41" fillId="12" borderId="31" xfId="0" applyFont="1" applyFill="1" applyBorder="1" applyAlignment="1">
      <alignment horizontal="center" vertical="center"/>
    </xf>
    <xf numFmtId="0" fontId="33" fillId="0" borderId="14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0" fontId="33" fillId="0" borderId="28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left" vertical="center" wrapText="1"/>
    </xf>
    <xf numFmtId="0" fontId="37" fillId="0" borderId="15" xfId="0" applyFont="1" applyBorder="1" applyAlignment="1">
      <alignment horizontal="left" vertical="center" wrapText="1"/>
    </xf>
    <xf numFmtId="0" fontId="37" fillId="0" borderId="7" xfId="0" applyFont="1" applyBorder="1" applyAlignment="1">
      <alignment horizontal="left" vertical="center" wrapText="1"/>
    </xf>
    <xf numFmtId="0" fontId="33" fillId="0" borderId="14" xfId="0" applyFont="1" applyBorder="1" applyAlignment="1">
      <alignment horizontal="left" vertical="center" wrapText="1"/>
    </xf>
    <xf numFmtId="0" fontId="33" fillId="0" borderId="15" xfId="0" applyFont="1" applyBorder="1" applyAlignment="1">
      <alignment horizontal="left" vertical="center" wrapText="1"/>
    </xf>
    <xf numFmtId="0" fontId="33" fillId="0" borderId="28" xfId="0" applyFont="1" applyBorder="1" applyAlignment="1">
      <alignment horizontal="left" vertical="center" wrapText="1"/>
    </xf>
    <xf numFmtId="0" fontId="33" fillId="12" borderId="34" xfId="0" applyFont="1" applyFill="1" applyBorder="1" applyAlignment="1">
      <alignment horizontal="center" vertical="center" wrapText="1"/>
    </xf>
    <xf numFmtId="0" fontId="33" fillId="12" borderId="35" xfId="0" applyFont="1" applyFill="1" applyBorder="1" applyAlignment="1">
      <alignment horizontal="center" vertical="center" wrapText="1"/>
    </xf>
    <xf numFmtId="0" fontId="33" fillId="12" borderId="36" xfId="0" applyFont="1" applyFill="1" applyBorder="1" applyAlignment="1">
      <alignment horizontal="center" vertical="center" wrapText="1"/>
    </xf>
    <xf numFmtId="0" fontId="33" fillId="12" borderId="37" xfId="0" applyFont="1" applyFill="1" applyBorder="1" applyAlignment="1">
      <alignment horizontal="left" vertical="center" wrapText="1"/>
    </xf>
    <xf numFmtId="0" fontId="33" fillId="12" borderId="32" xfId="0" applyFont="1" applyFill="1" applyBorder="1" applyAlignment="1">
      <alignment horizontal="left" vertical="center"/>
    </xf>
    <xf numFmtId="0" fontId="33" fillId="12" borderId="13" xfId="0" applyFont="1" applyFill="1" applyBorder="1" applyAlignment="1">
      <alignment horizontal="left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6" xfId="0" applyFont="1" applyFill="1" applyBorder="1" applyAlignment="1">
      <alignment horizontal="center" vertical="center"/>
    </xf>
    <xf numFmtId="0" fontId="36" fillId="3" borderId="39" xfId="0" applyFont="1" applyFill="1" applyBorder="1" applyAlignment="1">
      <alignment horizontal="center" vertical="center"/>
    </xf>
    <xf numFmtId="0" fontId="36" fillId="3" borderId="8" xfId="0" applyFont="1" applyFill="1" applyBorder="1" applyAlignment="1">
      <alignment horizontal="center" vertical="center"/>
    </xf>
    <xf numFmtId="0" fontId="33" fillId="12" borderId="27" xfId="0" applyFont="1" applyFill="1" applyBorder="1" applyAlignment="1">
      <alignment horizontal="center" vertical="center"/>
    </xf>
    <xf numFmtId="0" fontId="33" fillId="12" borderId="4" xfId="0" applyFont="1" applyFill="1" applyBorder="1" applyAlignment="1">
      <alignment horizontal="center" vertical="center"/>
    </xf>
    <xf numFmtId="0" fontId="33" fillId="12" borderId="6" xfId="0" applyFont="1" applyFill="1" applyBorder="1" applyAlignment="1">
      <alignment horizontal="center" vertical="center"/>
    </xf>
    <xf numFmtId="0" fontId="33" fillId="12" borderId="38" xfId="0" applyFont="1" applyFill="1" applyBorder="1" applyAlignment="1">
      <alignment horizontal="center" vertical="center"/>
    </xf>
    <xf numFmtId="0" fontId="33" fillId="12" borderId="16" xfId="0" applyFont="1" applyFill="1" applyAlignment="1">
      <alignment horizontal="center" vertical="center"/>
    </xf>
    <xf numFmtId="0" fontId="33" fillId="12" borderId="40" xfId="0" applyFont="1" applyFill="1" applyBorder="1" applyAlignment="1">
      <alignment horizontal="center" vertical="center"/>
    </xf>
    <xf numFmtId="0" fontId="33" fillId="12" borderId="39" xfId="0" applyFont="1" applyFill="1" applyBorder="1" applyAlignment="1">
      <alignment horizontal="center" vertical="center"/>
    </xf>
    <xf numFmtId="0" fontId="33" fillId="12" borderId="41" xfId="0" applyFont="1" applyFill="1" applyBorder="1" applyAlignment="1">
      <alignment horizontal="center" vertical="center"/>
    </xf>
    <xf numFmtId="0" fontId="33" fillId="12" borderId="8" xfId="0" applyFont="1" applyFill="1" applyBorder="1" applyAlignment="1">
      <alignment horizontal="center" vertical="center"/>
    </xf>
    <xf numFmtId="0" fontId="33" fillId="12" borderId="14" xfId="0" applyFont="1" applyFill="1" applyBorder="1" applyAlignment="1">
      <alignment horizontal="center" vertical="center"/>
    </xf>
    <xf numFmtId="0" fontId="33" fillId="12" borderId="15" xfId="0" applyFont="1" applyFill="1" applyBorder="1" applyAlignment="1">
      <alignment horizontal="center" vertical="center"/>
    </xf>
    <xf numFmtId="0" fontId="33" fillId="12" borderId="7" xfId="0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/>
    </xf>
    <xf numFmtId="0" fontId="36" fillId="3" borderId="26" xfId="0" applyFont="1" applyFill="1" applyBorder="1" applyAlignment="1">
      <alignment horizontal="center" vertical="center"/>
    </xf>
    <xf numFmtId="0" fontId="36" fillId="3" borderId="5" xfId="0" applyFont="1" applyFill="1" applyBorder="1" applyAlignment="1">
      <alignment horizontal="center" vertical="center"/>
    </xf>
    <xf numFmtId="0" fontId="36" fillId="5" borderId="14" xfId="0" applyFont="1" applyFill="1" applyBorder="1" applyAlignment="1">
      <alignment horizontal="center" vertical="center"/>
    </xf>
    <xf numFmtId="0" fontId="36" fillId="5" borderId="15" xfId="0" applyFont="1" applyFill="1" applyBorder="1" applyAlignment="1">
      <alignment horizontal="center" vertical="center"/>
    </xf>
    <xf numFmtId="0" fontId="36" fillId="5" borderId="7" xfId="0" applyFont="1" applyFill="1" applyBorder="1" applyAlignment="1">
      <alignment horizontal="center" vertical="center"/>
    </xf>
    <xf numFmtId="0" fontId="69" fillId="13" borderId="44" xfId="49" applyFont="1" applyBorder="1" applyAlignment="1">
      <alignment horizontal="left" vertical="top" wrapText="1"/>
    </xf>
    <xf numFmtId="0" fontId="69" fillId="13" borderId="45" xfId="49" applyFont="1" applyBorder="1" applyAlignment="1">
      <alignment horizontal="left" vertical="top" wrapText="1"/>
    </xf>
    <xf numFmtId="0" fontId="69" fillId="13" borderId="46" xfId="49" applyFont="1" applyBorder="1" applyAlignment="1">
      <alignment horizontal="left" vertical="top" wrapText="1"/>
    </xf>
    <xf numFmtId="0" fontId="69" fillId="13" borderId="47" xfId="49" applyFont="1" applyBorder="1" applyAlignment="1">
      <alignment horizontal="left" vertical="top" wrapText="1"/>
    </xf>
    <xf numFmtId="0" fontId="69" fillId="13" borderId="16" xfId="49" applyFont="1" applyAlignment="1">
      <alignment horizontal="left" vertical="top" wrapText="1"/>
    </xf>
    <xf numFmtId="0" fontId="69" fillId="13" borderId="48" xfId="49" applyFont="1" applyBorder="1" applyAlignment="1">
      <alignment horizontal="left" vertical="top" wrapText="1"/>
    </xf>
    <xf numFmtId="0" fontId="69" fillId="13" borderId="49" xfId="49" applyFont="1" applyBorder="1" applyAlignment="1">
      <alignment horizontal="left" vertical="top" wrapText="1"/>
    </xf>
    <xf numFmtId="0" fontId="69" fillId="13" borderId="50" xfId="49" applyFont="1" applyBorder="1" applyAlignment="1">
      <alignment horizontal="left" vertical="top" wrapText="1"/>
    </xf>
    <xf numFmtId="0" fontId="69" fillId="13" borderId="51" xfId="49" applyFont="1" applyBorder="1" applyAlignment="1">
      <alignment horizontal="left" vertical="top" wrapText="1"/>
    </xf>
    <xf numFmtId="0" fontId="57" fillId="44" borderId="1" xfId="49" applyFont="1" applyFill="1" applyBorder="1" applyAlignment="1">
      <alignment horizontal="center" vertical="center" wrapText="1"/>
    </xf>
    <xf numFmtId="0" fontId="5" fillId="13" borderId="14" xfId="49" applyFont="1" applyBorder="1" applyAlignment="1">
      <alignment horizontal="center" vertical="center"/>
    </xf>
    <xf numFmtId="0" fontId="5" fillId="13" borderId="15" xfId="49" applyFont="1" applyBorder="1" applyAlignment="1">
      <alignment horizontal="center" vertical="center"/>
    </xf>
    <xf numFmtId="0" fontId="7" fillId="13" borderId="14" xfId="49" applyFont="1" applyBorder="1" applyAlignment="1">
      <alignment horizontal="center" vertical="center" wrapText="1"/>
    </xf>
    <xf numFmtId="0" fontId="7" fillId="13" borderId="7" xfId="49" applyFont="1" applyBorder="1" applyAlignment="1">
      <alignment horizontal="center" vertical="center" wrapText="1"/>
    </xf>
    <xf numFmtId="0" fontId="7" fillId="13" borderId="14" xfId="49" applyFont="1" applyBorder="1" applyAlignment="1">
      <alignment horizontal="center" vertical="center"/>
    </xf>
    <xf numFmtId="0" fontId="7" fillId="13" borderId="7" xfId="49" applyFont="1" applyBorder="1" applyAlignment="1">
      <alignment horizontal="center" vertical="center"/>
    </xf>
    <xf numFmtId="0" fontId="7" fillId="44" borderId="27" xfId="49" applyFont="1" applyFill="1" applyBorder="1" applyAlignment="1">
      <alignment horizontal="center" vertical="center" wrapText="1"/>
    </xf>
    <xf numFmtId="0" fontId="7" fillId="44" borderId="4" xfId="49" applyFont="1" applyFill="1" applyBorder="1" applyAlignment="1">
      <alignment horizontal="center" vertical="center" wrapText="1"/>
    </xf>
    <xf numFmtId="0" fontId="7" fillId="44" borderId="6" xfId="49" applyFont="1" applyFill="1" applyBorder="1" applyAlignment="1">
      <alignment horizontal="center" vertical="center" wrapText="1"/>
    </xf>
    <xf numFmtId="0" fontId="7" fillId="44" borderId="38" xfId="49" applyFont="1" applyFill="1" applyBorder="1" applyAlignment="1">
      <alignment horizontal="center" vertical="center" wrapText="1"/>
    </xf>
    <xf numFmtId="0" fontId="7" fillId="44" borderId="16" xfId="49" applyFont="1" applyFill="1" applyAlignment="1">
      <alignment horizontal="center" vertical="center" wrapText="1"/>
    </xf>
    <xf numFmtId="0" fontId="7" fillId="44" borderId="40" xfId="49" applyFont="1" applyFill="1" applyBorder="1" applyAlignment="1">
      <alignment horizontal="center" vertical="center" wrapText="1"/>
    </xf>
    <xf numFmtId="0" fontId="7" fillId="44" borderId="39" xfId="49" applyFont="1" applyFill="1" applyBorder="1" applyAlignment="1">
      <alignment horizontal="center" vertical="center" wrapText="1"/>
    </xf>
    <xf numFmtId="0" fontId="7" fillId="44" borderId="41" xfId="49" applyFont="1" applyFill="1" applyBorder="1" applyAlignment="1">
      <alignment horizontal="center" vertical="center" wrapText="1"/>
    </xf>
    <xf numFmtId="0" fontId="7" fillId="44" borderId="8" xfId="49" applyFont="1" applyFill="1" applyBorder="1" applyAlignment="1">
      <alignment horizontal="center" vertical="center" wrapText="1"/>
    </xf>
    <xf numFmtId="0" fontId="59" fillId="13" borderId="14" xfId="49" applyFont="1" applyBorder="1" applyAlignment="1">
      <alignment horizontal="center" vertical="center"/>
    </xf>
    <xf numFmtId="0" fontId="59" fillId="13" borderId="15" xfId="49" applyFont="1" applyBorder="1" applyAlignment="1">
      <alignment horizontal="center" vertical="center"/>
    </xf>
    <xf numFmtId="0" fontId="59" fillId="13" borderId="7" xfId="49" applyFont="1" applyBorder="1" applyAlignment="1">
      <alignment horizontal="center" vertical="center"/>
    </xf>
    <xf numFmtId="0" fontId="58" fillId="13" borderId="14" xfId="49" applyFont="1" applyBorder="1" applyAlignment="1">
      <alignment horizontal="center" vertical="center"/>
    </xf>
    <xf numFmtId="0" fontId="57" fillId="13" borderId="15" xfId="49" applyFont="1" applyBorder="1" applyAlignment="1">
      <alignment horizontal="center" vertical="center"/>
    </xf>
    <xf numFmtId="0" fontId="57" fillId="13" borderId="7" xfId="49" applyFont="1" applyBorder="1" applyAlignment="1">
      <alignment horizontal="center" vertical="center"/>
    </xf>
    <xf numFmtId="181" fontId="7" fillId="13" borderId="27" xfId="49" applyNumberFormat="1" applyFont="1" applyBorder="1" applyAlignment="1">
      <alignment horizontal="center" vertical="center"/>
    </xf>
    <xf numFmtId="181" fontId="7" fillId="13" borderId="39" xfId="49" applyNumberFormat="1" applyFont="1" applyBorder="1" applyAlignment="1">
      <alignment horizontal="center" vertical="center"/>
    </xf>
    <xf numFmtId="0" fontId="49" fillId="13" borderId="14" xfId="49" applyFont="1" applyBorder="1" applyAlignment="1">
      <alignment horizontal="left" vertical="center" wrapText="1"/>
    </xf>
    <xf numFmtId="0" fontId="49" fillId="13" borderId="15" xfId="49" applyFont="1" applyBorder="1" applyAlignment="1">
      <alignment horizontal="left" vertical="center" wrapText="1"/>
    </xf>
    <xf numFmtId="0" fontId="49" fillId="13" borderId="7" xfId="49" applyFont="1" applyBorder="1" applyAlignment="1">
      <alignment horizontal="left" vertical="center" wrapText="1"/>
    </xf>
    <xf numFmtId="181" fontId="66" fillId="44" borderId="14" xfId="49" applyNumberFormat="1" applyFont="1" applyFill="1" applyBorder="1" applyAlignment="1">
      <alignment horizontal="center" vertical="center" wrapText="1"/>
    </xf>
    <xf numFmtId="181" fontId="66" fillId="44" borderId="15" xfId="49" applyNumberFormat="1" applyFont="1" applyFill="1" applyBorder="1" applyAlignment="1">
      <alignment horizontal="center" vertical="center" wrapText="1"/>
    </xf>
    <xf numFmtId="181" fontId="7" fillId="44" borderId="7" xfId="49" applyNumberFormat="1" applyFont="1" applyFill="1" applyBorder="1" applyAlignment="1">
      <alignment horizontal="center" vertical="center"/>
    </xf>
    <xf numFmtId="0" fontId="5" fillId="13" borderId="7" xfId="49" applyFont="1" applyBorder="1" applyAlignment="1">
      <alignment horizontal="center" vertical="center"/>
    </xf>
    <xf numFmtId="0" fontId="7" fillId="13" borderId="1" xfId="49" applyFont="1" applyBorder="1" applyAlignment="1">
      <alignment horizontal="center" vertical="center" wrapText="1"/>
    </xf>
    <xf numFmtId="0" fontId="7" fillId="13" borderId="1" xfId="49" applyFont="1" applyBorder="1" applyAlignment="1">
      <alignment horizontal="center" vertical="center"/>
    </xf>
    <xf numFmtId="0" fontId="7" fillId="13" borderId="15" xfId="49" applyFont="1" applyBorder="1" applyAlignment="1">
      <alignment horizontal="center" vertical="center" wrapText="1"/>
    </xf>
    <xf numFmtId="0" fontId="57" fillId="13" borderId="14" xfId="49" applyFont="1" applyBorder="1" applyAlignment="1">
      <alignment horizontal="center" vertical="center"/>
    </xf>
    <xf numFmtId="0" fontId="45" fillId="2" borderId="42" xfId="49" applyFont="1" applyFill="1" applyBorder="1" applyAlignment="1">
      <alignment horizontal="center" vertical="center"/>
    </xf>
    <xf numFmtId="0" fontId="47" fillId="3" borderId="26" xfId="49" applyFont="1" applyFill="1" applyBorder="1" applyAlignment="1">
      <alignment horizontal="center" vertical="center"/>
    </xf>
    <xf numFmtId="0" fontId="47" fillId="3" borderId="43" xfId="49" applyFont="1" applyFill="1" applyBorder="1" applyAlignment="1">
      <alignment horizontal="center" vertical="center"/>
    </xf>
    <xf numFmtId="0" fontId="47" fillId="3" borderId="5" xfId="49" applyFont="1" applyFill="1" applyBorder="1" applyAlignment="1">
      <alignment horizontal="center" vertical="center"/>
    </xf>
    <xf numFmtId="0" fontId="47" fillId="2" borderId="14" xfId="49" applyFont="1" applyFill="1" applyBorder="1" applyAlignment="1">
      <alignment horizontal="center" vertical="center"/>
    </xf>
    <xf numFmtId="0" fontId="47" fillId="2" borderId="7" xfId="49" applyFont="1" applyFill="1" applyBorder="1" applyAlignment="1">
      <alignment horizontal="center" vertical="center"/>
    </xf>
    <xf numFmtId="0" fontId="47" fillId="3" borderId="27" xfId="49" applyFont="1" applyFill="1" applyBorder="1" applyAlignment="1">
      <alignment horizontal="center" vertical="center" wrapText="1"/>
    </xf>
    <xf numFmtId="0" fontId="47" fillId="3" borderId="4" xfId="49" applyFont="1" applyFill="1" applyBorder="1" applyAlignment="1">
      <alignment horizontal="center" vertical="center" wrapText="1"/>
    </xf>
    <xf numFmtId="0" fontId="47" fillId="3" borderId="6" xfId="49" applyFont="1" applyFill="1" applyBorder="1" applyAlignment="1">
      <alignment horizontal="center" vertical="center" wrapText="1"/>
    </xf>
    <xf numFmtId="0" fontId="47" fillId="2" borderId="14" xfId="49" applyFont="1" applyFill="1" applyBorder="1" applyAlignment="1">
      <alignment horizontal="center" vertical="center" wrapText="1"/>
    </xf>
    <xf numFmtId="0" fontId="0" fillId="10" borderId="11" xfId="0" applyFill="1" applyBorder="1" applyAlignment="1">
      <alignment horizontal="center" vertical="center" wrapText="1"/>
    </xf>
    <xf numFmtId="0" fontId="0" fillId="0" borderId="11" xfId="0" applyBorder="1">
      <alignment vertical="center"/>
    </xf>
    <xf numFmtId="0" fontId="0" fillId="10" borderId="10" xfId="0" applyFill="1" applyBorder="1" applyAlignment="1">
      <alignment horizontal="center" vertical="center"/>
    </xf>
    <xf numFmtId="0" fontId="0" fillId="0" borderId="10" xfId="0" applyBorder="1">
      <alignment vertical="center"/>
    </xf>
    <xf numFmtId="0" fontId="4" fillId="0" borderId="4" xfId="0" applyFont="1" applyBorder="1" applyAlignment="1">
      <alignment horizontal="right" vertical="center"/>
    </xf>
    <xf numFmtId="0" fontId="30" fillId="12" borderId="16" xfId="0" applyFont="1" applyFill="1" applyAlignment="1">
      <alignment horizontal="left" vertical="center" wrapText="1"/>
    </xf>
  </cellXfs>
  <cellStyles count="50">
    <cellStyle name="20% - 着色 1" xfId="4" xr:uid="{00000000-0005-0000-0000-000004000000}"/>
    <cellStyle name="20% - 着色 2" xfId="6" xr:uid="{00000000-0005-0000-0000-000006000000}"/>
    <cellStyle name="20% - 着色 3" xfId="8" xr:uid="{00000000-0005-0000-0000-000008000000}"/>
    <cellStyle name="20% - 着色 4" xfId="12" xr:uid="{00000000-0005-0000-0000-00000C000000}"/>
    <cellStyle name="20% - 着色 5" xfId="10" xr:uid="{00000000-0005-0000-0000-00000A000000}"/>
    <cellStyle name="20% - 着色 6" xfId="15" xr:uid="{00000000-0005-0000-0000-00000F000000}"/>
    <cellStyle name="40% - 着色 1" xfId="1" xr:uid="{00000000-0005-0000-0000-000001000000}"/>
    <cellStyle name="40% - 着色 2" xfId="2" xr:uid="{00000000-0005-0000-0000-000002000000}"/>
    <cellStyle name="40% - 着色 3" xfId="36" xr:uid="{00000000-0005-0000-0000-00002A000000}"/>
    <cellStyle name="40% - 着色 4" xfId="34" xr:uid="{00000000-0005-0000-0000-000028000000}"/>
    <cellStyle name="40% - 着色 5" xfId="32" xr:uid="{00000000-0005-0000-0000-000026000000}"/>
    <cellStyle name="40% - 着色 6" xfId="16" xr:uid="{00000000-0005-0000-0000-000010000000}"/>
    <cellStyle name="60% - 着色 1" xfId="38" xr:uid="{00000000-0005-0000-0000-00002C000000}"/>
    <cellStyle name="60% - 着色 2" xfId="39" xr:uid="{00000000-0005-0000-0000-00002D000000}"/>
    <cellStyle name="60% - 着色 3" xfId="17" xr:uid="{00000000-0005-0000-0000-000011000000}"/>
    <cellStyle name="60% - 着色 4" xfId="22" xr:uid="{00000000-0005-0000-0000-000017000000}"/>
    <cellStyle name="60% - 着色 5" xfId="18" xr:uid="{00000000-0005-0000-0000-000012000000}"/>
    <cellStyle name="60% - 着色 6" xfId="24" xr:uid="{00000000-0005-0000-0000-00001B000000}"/>
    <cellStyle name="百分比" xfId="19" builtinId="5"/>
    <cellStyle name="百分比 2" xfId="46" xr:uid="{0F189EE9-59D0-AE49-923F-E1FE30EBFE6D}"/>
    <cellStyle name="标题" xfId="23" xr:uid="{00000000-0005-0000-0000-000018000000}"/>
    <cellStyle name="标题 1" xfId="20" xr:uid="{00000000-0005-0000-0000-000014000000}"/>
    <cellStyle name="标题 2" xfId="25" xr:uid="{00000000-0005-0000-0000-00001C000000}"/>
    <cellStyle name="标题 3" xfId="21" xr:uid="{00000000-0005-0000-0000-000015000000}"/>
    <cellStyle name="标题 4" xfId="26" xr:uid="{00000000-0005-0000-0000-00001F000000}"/>
    <cellStyle name="差" xfId="27" xr:uid="{00000000-0005-0000-0000-000021000000}"/>
    <cellStyle name="常规" xfId="0" builtinId="0"/>
    <cellStyle name="常规 2" xfId="28" xr:uid="{00000000-0005-0000-0000-000022000000}"/>
    <cellStyle name="常规 2 2" xfId="49" xr:uid="{DB67282D-8704-8547-9654-18291960C423}"/>
    <cellStyle name="常规 3" xfId="45" xr:uid="{FD0C77B7-91E9-2A4D-9372-17C755B706A2}"/>
    <cellStyle name="常规 4" xfId="48" xr:uid="{44BB011E-FEB9-6B42-A480-DBC1FE0F60F6}"/>
    <cellStyle name="好" xfId="37" xr:uid="{00000000-0005-0000-0000-00002B000000}"/>
    <cellStyle name="汇总" xfId="35" xr:uid="{00000000-0005-0000-0000-000029000000}"/>
    <cellStyle name="计算" xfId="33" xr:uid="{00000000-0005-0000-0000-000027000000}"/>
    <cellStyle name="检查单元格" xfId="31" xr:uid="{00000000-0005-0000-0000-000025000000}"/>
    <cellStyle name="解释性文本" xfId="29" xr:uid="{00000000-0005-0000-0000-000023000000}"/>
    <cellStyle name="警告文本" xfId="30" xr:uid="{00000000-0005-0000-0000-000024000000}"/>
    <cellStyle name="链接单元格" xfId="40" xr:uid="{00000000-0005-0000-0000-00002E000000}"/>
    <cellStyle name="千位分隔" xfId="44" builtinId="3"/>
    <cellStyle name="千位分隔 2" xfId="47" xr:uid="{E813B99A-3958-4740-BAFF-E5516801BC7C}"/>
    <cellStyle name="适中" xfId="41" xr:uid="{00000000-0005-0000-0000-00002F000000}"/>
    <cellStyle name="输出" xfId="42" xr:uid="{00000000-0005-0000-0000-000030000000}"/>
    <cellStyle name="输入" xfId="43" xr:uid="{00000000-0005-0000-0000-000031000000}"/>
    <cellStyle name="着色 1" xfId="14" xr:uid="{00000000-0005-0000-0000-00000E000000}"/>
    <cellStyle name="着色 2" xfId="3" xr:uid="{00000000-0005-0000-0000-000003000000}"/>
    <cellStyle name="着色 3" xfId="5" xr:uid="{00000000-0005-0000-0000-000005000000}"/>
    <cellStyle name="着色 4" xfId="7" xr:uid="{00000000-0005-0000-0000-000007000000}"/>
    <cellStyle name="着色 5" xfId="9" xr:uid="{00000000-0005-0000-0000-000009000000}"/>
    <cellStyle name="着色 6" xfId="13" xr:uid="{00000000-0005-0000-0000-00000D000000}"/>
    <cellStyle name="注释" xfId="11" xr:uid="{00000000-0005-0000-0000-00000B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105832</xdr:colOff>
      <xdr:row>4</xdr:row>
      <xdr:rowOff>262467</xdr:rowOff>
    </xdr:from>
    <xdr:to>
      <xdr:col>13</xdr:col>
      <xdr:colOff>11472333</xdr:colOff>
      <xdr:row>7</xdr:row>
      <xdr:rowOff>2667000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4A8EB3B-C34B-634A-953F-AC0073BE3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95732" y="2497667"/>
          <a:ext cx="11366501" cy="9414933"/>
        </a:xfrm>
        <a:prstGeom prst="rect">
          <a:avLst/>
        </a:prstGeom>
      </xdr:spPr>
    </xdr:pic>
    <xdr:clientData/>
  </xdr:twoCellAnchor>
  <xdr:twoCellAnchor editAs="oneCell">
    <xdr:from>
      <xdr:col>13</xdr:col>
      <xdr:colOff>97367</xdr:colOff>
      <xdr:row>8</xdr:row>
      <xdr:rowOff>211666</xdr:rowOff>
    </xdr:from>
    <xdr:to>
      <xdr:col>13</xdr:col>
      <xdr:colOff>5202767</xdr:colOff>
      <xdr:row>11</xdr:row>
      <xdr:rowOff>973666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9943095-6146-A747-8E52-4D8EE3E84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587267" y="12251266"/>
          <a:ext cx="5105400" cy="5588000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127000</xdr:colOff>
      <xdr:row>7</xdr:row>
      <xdr:rowOff>635000</xdr:rowOff>
    </xdr:from>
    <xdr:to>
      <xdr:col>8</xdr:col>
      <xdr:colOff>6019800</xdr:colOff>
      <xdr:row>7</xdr:row>
      <xdr:rowOff>1447182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AC5E6147-BA41-0942-A3DF-68C8A8EEB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68700" y="9880600"/>
          <a:ext cx="5892800" cy="8121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105832</xdr:colOff>
      <xdr:row>4</xdr:row>
      <xdr:rowOff>262467</xdr:rowOff>
    </xdr:from>
    <xdr:to>
      <xdr:col>13</xdr:col>
      <xdr:colOff>11472333</xdr:colOff>
      <xdr:row>7</xdr:row>
      <xdr:rowOff>2667000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24C7697C-D393-8C06-7040-B35540854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80632" y="2497667"/>
          <a:ext cx="11366501" cy="9414933"/>
        </a:xfrm>
        <a:prstGeom prst="rect">
          <a:avLst/>
        </a:prstGeom>
      </xdr:spPr>
    </xdr:pic>
    <xdr:clientData/>
  </xdr:twoCellAnchor>
  <xdr:twoCellAnchor editAs="oneCell">
    <xdr:from>
      <xdr:col>13</xdr:col>
      <xdr:colOff>97367</xdr:colOff>
      <xdr:row>8</xdr:row>
      <xdr:rowOff>211666</xdr:rowOff>
    </xdr:from>
    <xdr:to>
      <xdr:col>13</xdr:col>
      <xdr:colOff>5202767</xdr:colOff>
      <xdr:row>11</xdr:row>
      <xdr:rowOff>973666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5167D851-B642-ED74-C93B-ED00294F6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254767" y="11768666"/>
          <a:ext cx="5105400" cy="5588000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127000</xdr:colOff>
      <xdr:row>7</xdr:row>
      <xdr:rowOff>635000</xdr:rowOff>
    </xdr:from>
    <xdr:to>
      <xdr:col>8</xdr:col>
      <xdr:colOff>6019800</xdr:colOff>
      <xdr:row>7</xdr:row>
      <xdr:rowOff>1447182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96753DF4-0485-3744-833B-DA7E06BF7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1400" y="9880600"/>
          <a:ext cx="5892800" cy="81218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sclient/Desktop/10.133.252.6/&#36130;&#21153;/&#26477;&#24030;&#22823;&#26106;/2004/9&#26376;/&#39046;&#26009;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sclient/Desktop/D9BBD1DF/&#26106;&#26106;2&#26376;&#20998;&#26512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sclient/Desktop/FD6B5ADB/&#26106;&#26106;3&#26376;&#20998;&#2651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sclient/Desktop/0CC8A027/&#26106;&#26106;6&#26376;&#20998;&#26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原料"/>
      <sheetName val="调料"/>
      <sheetName val="包材"/>
      <sheetName val="五金修理"/>
    </sheetNames>
    <sheetDataSet>
      <sheetData sheetId="0" refreshError="1"/>
      <sheetData sheetId="1">
        <row r="13">
          <cell r="E13">
            <v>5.5967504489945226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产值分析表"/>
      <sheetName val="考核明细表"/>
      <sheetName val="考核明细表 (2)"/>
      <sheetName val="主力产品单位成本表取消"/>
      <sheetName val="制造成本实际与预算比"/>
      <sheetName val="年制造成本分析"/>
      <sheetName val="制造本月与上月、去年比"/>
      <sheetName val="产值比人数与人工"/>
      <sheetName val="产值比上年"/>
      <sheetName val="采购单价影响毛利"/>
      <sheetName val="变动表 "/>
      <sheetName val="库存分析表"/>
      <sheetName val="实际与标准比影响毛利"/>
      <sheetName val="毛利率比较"/>
      <sheetName val="能源耗表1"/>
      <sheetName val="能源耗表"/>
      <sheetName val="资产负债表"/>
      <sheetName val="损益表"/>
      <sheetName val="原料库存分析"/>
      <sheetName val="辅料库存分析"/>
      <sheetName val="包材库分析"/>
      <sheetName val="制造费用分摊明细"/>
      <sheetName val="五金修理"/>
      <sheetName val="五金修理分摊表_1"/>
      <sheetName val="8#原物料存货"/>
      <sheetName val="13#存货明细"/>
      <sheetName val="14#工资明细 "/>
      <sheetName val="总厂采购绩效9#"/>
      <sheetName val="总厂人工占产值比7#"/>
      <sheetName val="总厂各线产值分析"/>
      <sheetName val="营运指标示　"/>
      <sheetName val="调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产值分析表3"/>
      <sheetName val="考核明细表"/>
      <sheetName val="毛利率比较4"/>
      <sheetName val="实际与标准比影响毛利5"/>
      <sheetName val="考核明细表6"/>
      <sheetName val="主力产品单位成本表取消"/>
      <sheetName val="采购单价影响毛利9"/>
      <sheetName val="产值比上年11"/>
      <sheetName val="产值比人数与人工12"/>
      <sheetName val="制造成本实际与预算比15-1"/>
      <sheetName val="年制造成本分析15-2"/>
      <sheetName val="制造本月与上月、去年比15-3"/>
      <sheetName val="标准与实际比16"/>
      <sheetName val="变动表 "/>
      <sheetName val="库存分析表"/>
      <sheetName val="能源耗表1"/>
      <sheetName val="能源耗表"/>
      <sheetName val="资产负债表"/>
      <sheetName val="损益表"/>
      <sheetName val="五金修理"/>
      <sheetName val="原料分析表"/>
      <sheetName val="辅料分析表"/>
      <sheetName val="包材库存分析"/>
      <sheetName val="制造费用分摊表"/>
      <sheetName val="五金修理分摊表_1"/>
      <sheetName val="8#原物料存货"/>
      <sheetName val="13#存货明细"/>
      <sheetName val="14#工资明细 "/>
      <sheetName val="总厂采购绩效9#"/>
      <sheetName val="总厂人工占产值比7#"/>
      <sheetName val="总厂各线产值分析"/>
      <sheetName val="营运指标示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产值分析表3"/>
      <sheetName val="考核明细表"/>
      <sheetName val="毛利率比较4"/>
      <sheetName val="实际与标准比影响毛利5"/>
      <sheetName val="主力产品单位成本表取消"/>
      <sheetName val="采购单价影响毛利9"/>
      <sheetName val="产值比上年11"/>
      <sheetName val="产值比人数与人工12"/>
      <sheetName val="考核明细表6"/>
      <sheetName val="制造成本实际与预算比15-1"/>
      <sheetName val="年制造成本分析15-2"/>
      <sheetName val="制造本月与上月、去年比15-3"/>
      <sheetName val="标准与实际比16"/>
      <sheetName val="资产负债表"/>
      <sheetName val="损益表"/>
      <sheetName val="变动表 "/>
      <sheetName val="库存分析表"/>
      <sheetName val="能源耗表1"/>
      <sheetName val="能源耗表"/>
      <sheetName val="五金修理"/>
      <sheetName val="辅料分析表"/>
      <sheetName val="包材库存分析"/>
      <sheetName val="制造费用分摊表"/>
      <sheetName val="原料分析表"/>
      <sheetName val="五金修理分摊表_1"/>
      <sheetName val="8#原物料存货"/>
      <sheetName val="13#存货明细"/>
      <sheetName val="14#工资明细 "/>
      <sheetName val="总厂采购绩效9#"/>
      <sheetName val="总厂人工占产值比7#"/>
      <sheetName val="总厂各线产值分析"/>
      <sheetName val="营运指标示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58B4-4A47-8443-A83A-AFA5F258CC43}">
  <dimension ref="A2:O14"/>
  <sheetViews>
    <sheetView showGridLines="0" tabSelected="1" zoomScale="50" zoomScaleNormal="50" workbookViewId="0">
      <pane xSplit="5" ySplit="4" topLeftCell="F8" activePane="bottomRight" state="frozen"/>
      <selection activeCell="Q6" sqref="Q6:Q8"/>
      <selection pane="topRight" activeCell="Q6" sqref="Q6:Q8"/>
      <selection pane="bottomLeft" activeCell="Q6" sqref="Q6:Q8"/>
      <selection pane="bottomRight" activeCell="H22" sqref="H22"/>
    </sheetView>
  </sheetViews>
  <sheetFormatPr baseColWidth="10" defaultColWidth="8.83203125" defaultRowHeight="18"/>
  <cols>
    <col min="1" max="2" width="3.6640625" style="66" customWidth="1"/>
    <col min="3" max="3" width="18.83203125" style="66" customWidth="1"/>
    <col min="4" max="4" width="15.6640625" style="66" customWidth="1"/>
    <col min="5" max="5" width="78.6640625" style="66" customWidth="1"/>
    <col min="6" max="6" width="30" style="67" customWidth="1"/>
    <col min="7" max="7" width="22.33203125" style="67" customWidth="1"/>
    <col min="8" max="8" width="60.33203125" style="67" customWidth="1"/>
    <col min="9" max="9" width="80.33203125" style="66" customWidth="1"/>
    <col min="10" max="10" width="29.5" style="66" customWidth="1"/>
    <col min="11" max="11" width="40.1640625" style="66" customWidth="1"/>
    <col min="12" max="12" width="44.5" style="66" customWidth="1"/>
    <col min="13" max="13" width="33.1640625" style="66" customWidth="1"/>
    <col min="14" max="14" width="151.33203125" style="66" customWidth="1"/>
    <col min="15" max="15" width="8.83203125" style="66"/>
  </cols>
  <sheetData>
    <row r="2" spans="1:15" ht="30" customHeight="1">
      <c r="C2" s="106" t="s">
        <v>655</v>
      </c>
      <c r="D2" s="106"/>
      <c r="E2" s="107"/>
    </row>
    <row r="3" spans="1:15" s="65" customFormat="1" ht="64" customHeight="1">
      <c r="C3" s="186" t="s">
        <v>656</v>
      </c>
      <c r="D3" s="186" t="s">
        <v>624</v>
      </c>
      <c r="E3" s="186" t="s">
        <v>628</v>
      </c>
      <c r="F3" s="186" t="s">
        <v>625</v>
      </c>
      <c r="G3" s="209" t="s">
        <v>659</v>
      </c>
      <c r="H3" s="210"/>
      <c r="I3" s="186" t="s">
        <v>637</v>
      </c>
      <c r="J3" s="225" t="s">
        <v>701</v>
      </c>
      <c r="K3" s="225"/>
      <c r="L3" s="225"/>
      <c r="M3" s="225"/>
      <c r="N3" s="186" t="s">
        <v>670</v>
      </c>
    </row>
    <row r="4" spans="1:15" s="65" customFormat="1" ht="64" customHeight="1">
      <c r="C4" s="187"/>
      <c r="D4" s="187"/>
      <c r="E4" s="187"/>
      <c r="F4" s="187"/>
      <c r="G4" s="211"/>
      <c r="H4" s="212"/>
      <c r="I4" s="187"/>
      <c r="J4" s="226" t="s">
        <v>702</v>
      </c>
      <c r="K4" s="227"/>
      <c r="L4" s="116" t="s">
        <v>688</v>
      </c>
      <c r="M4" s="116" t="s">
        <v>680</v>
      </c>
      <c r="N4" s="187"/>
    </row>
    <row r="5" spans="1:15" s="65" customFormat="1" ht="132" customHeight="1">
      <c r="C5" s="194" t="s">
        <v>657</v>
      </c>
      <c r="D5" s="114" t="s">
        <v>681</v>
      </c>
      <c r="E5" s="115" t="s">
        <v>682</v>
      </c>
      <c r="F5" s="104" t="s">
        <v>626</v>
      </c>
      <c r="G5" s="104" t="s">
        <v>683</v>
      </c>
      <c r="H5" s="197" t="s">
        <v>710</v>
      </c>
      <c r="I5" s="200" t="s">
        <v>708</v>
      </c>
      <c r="J5" s="118" t="s">
        <v>684</v>
      </c>
      <c r="K5" s="117" t="s">
        <v>685</v>
      </c>
      <c r="L5" s="117" t="s">
        <v>703</v>
      </c>
      <c r="M5" s="117" t="s">
        <v>699</v>
      </c>
      <c r="N5" s="228"/>
    </row>
    <row r="6" spans="1:15" s="65" customFormat="1" ht="200" customHeight="1">
      <c r="C6" s="195"/>
      <c r="D6" s="102" t="s">
        <v>1</v>
      </c>
      <c r="E6" s="103" t="s">
        <v>707</v>
      </c>
      <c r="F6" s="104" t="s">
        <v>626</v>
      </c>
      <c r="G6" s="104" t="s">
        <v>683</v>
      </c>
      <c r="H6" s="198"/>
      <c r="I6" s="201"/>
      <c r="J6" s="118" t="s">
        <v>686</v>
      </c>
      <c r="K6" s="117" t="s">
        <v>697</v>
      </c>
      <c r="L6" s="117" t="s">
        <v>698</v>
      </c>
      <c r="M6" s="117" t="s">
        <v>700</v>
      </c>
      <c r="N6" s="229"/>
    </row>
    <row r="7" spans="1:15" s="65" customFormat="1" ht="220" customHeight="1">
      <c r="C7" s="195"/>
      <c r="D7" s="102" t="s">
        <v>2</v>
      </c>
      <c r="E7" s="103" t="s">
        <v>671</v>
      </c>
      <c r="F7" s="104" t="s">
        <v>672</v>
      </c>
      <c r="G7" s="104" t="s">
        <v>673</v>
      </c>
      <c r="H7" s="198"/>
      <c r="I7" s="201"/>
      <c r="J7" s="118" t="s">
        <v>687</v>
      </c>
      <c r="K7" s="117" t="s">
        <v>690</v>
      </c>
      <c r="L7" s="117" t="s">
        <v>705</v>
      </c>
      <c r="M7" s="117" t="s">
        <v>763</v>
      </c>
      <c r="N7" s="229"/>
    </row>
    <row r="8" spans="1:15" s="65" customFormat="1" ht="220" customHeight="1">
      <c r="C8" s="195"/>
      <c r="D8" s="102" t="s">
        <v>621</v>
      </c>
      <c r="E8" s="103" t="s">
        <v>679</v>
      </c>
      <c r="F8" s="104" t="s">
        <v>674</v>
      </c>
      <c r="G8" s="104" t="s">
        <v>675</v>
      </c>
      <c r="H8" s="198"/>
      <c r="I8" s="201"/>
      <c r="J8" s="118" t="s">
        <v>689</v>
      </c>
      <c r="K8" s="117" t="s">
        <v>691</v>
      </c>
      <c r="L8" s="117" t="s">
        <v>706</v>
      </c>
      <c r="M8" s="117" t="s">
        <v>765</v>
      </c>
      <c r="N8" s="229"/>
    </row>
    <row r="9" spans="1:15" s="65" customFormat="1" ht="220" customHeight="1">
      <c r="C9" s="196"/>
      <c r="D9" s="105" t="s">
        <v>3</v>
      </c>
      <c r="E9" s="103" t="s">
        <v>678</v>
      </c>
      <c r="F9" s="101" t="s">
        <v>676</v>
      </c>
      <c r="G9" s="104" t="s">
        <v>677</v>
      </c>
      <c r="H9" s="199"/>
      <c r="I9" s="202"/>
      <c r="J9" s="118" t="s">
        <v>694</v>
      </c>
      <c r="K9" s="117" t="s">
        <v>695</v>
      </c>
      <c r="L9" s="117" t="s">
        <v>704</v>
      </c>
      <c r="M9" s="117" t="s">
        <v>764</v>
      </c>
      <c r="N9" s="230"/>
    </row>
    <row r="10" spans="1:15" s="109" customFormat="1" ht="80" customHeight="1">
      <c r="A10" s="107"/>
      <c r="B10" s="107"/>
      <c r="C10" s="188" t="s">
        <v>658</v>
      </c>
      <c r="D10" s="191" t="s">
        <v>627</v>
      </c>
      <c r="E10" s="111" t="s">
        <v>660</v>
      </c>
      <c r="F10" s="112" t="s">
        <v>629</v>
      </c>
      <c r="G10" s="203" t="s">
        <v>665</v>
      </c>
      <c r="H10" s="206" t="s">
        <v>768</v>
      </c>
      <c r="I10" s="108" t="s">
        <v>667</v>
      </c>
      <c r="J10" s="213" t="s">
        <v>666</v>
      </c>
      <c r="K10" s="214"/>
      <c r="L10" s="214"/>
      <c r="M10" s="215"/>
      <c r="N10" s="222"/>
      <c r="O10" s="107"/>
    </row>
    <row r="11" spans="1:15" s="110" customFormat="1" ht="80" customHeight="1">
      <c r="A11" s="107"/>
      <c r="B11" s="107"/>
      <c r="C11" s="189"/>
      <c r="D11" s="192"/>
      <c r="E11" s="111" t="s">
        <v>661</v>
      </c>
      <c r="F11" s="112" t="s">
        <v>663</v>
      </c>
      <c r="G11" s="204"/>
      <c r="H11" s="207"/>
      <c r="I11" s="108" t="s">
        <v>668</v>
      </c>
      <c r="J11" s="216"/>
      <c r="K11" s="217"/>
      <c r="L11" s="217"/>
      <c r="M11" s="218"/>
      <c r="N11" s="223"/>
      <c r="O11" s="107"/>
    </row>
    <row r="12" spans="1:15" s="109" customFormat="1" ht="80" customHeight="1">
      <c r="A12" s="107"/>
      <c r="B12" s="107"/>
      <c r="C12" s="190"/>
      <c r="D12" s="193"/>
      <c r="E12" s="111" t="s">
        <v>662</v>
      </c>
      <c r="F12" s="113" t="s">
        <v>664</v>
      </c>
      <c r="G12" s="205"/>
      <c r="H12" s="208"/>
      <c r="I12" s="108" t="s">
        <v>669</v>
      </c>
      <c r="J12" s="219"/>
      <c r="K12" s="220"/>
      <c r="L12" s="220"/>
      <c r="M12" s="221"/>
      <c r="N12" s="224"/>
      <c r="O12" s="107"/>
    </row>
    <row r="13" spans="1:15" ht="20" customHeight="1"/>
    <row r="14" spans="1:15" ht="20" customHeight="1"/>
  </sheetData>
  <mergeCells count="19">
    <mergeCell ref="J10:M12"/>
    <mergeCell ref="N10:N12"/>
    <mergeCell ref="J3:M3"/>
    <mergeCell ref="N3:N4"/>
    <mergeCell ref="J4:K4"/>
    <mergeCell ref="N5:N9"/>
    <mergeCell ref="I3:I4"/>
    <mergeCell ref="C10:C12"/>
    <mergeCell ref="D10:D12"/>
    <mergeCell ref="C5:C9"/>
    <mergeCell ref="H5:H9"/>
    <mergeCell ref="I5:I9"/>
    <mergeCell ref="G10:G12"/>
    <mergeCell ref="H10:H12"/>
    <mergeCell ref="C3:C4"/>
    <mergeCell ref="D3:D4"/>
    <mergeCell ref="E3:E4"/>
    <mergeCell ref="F3:F4"/>
    <mergeCell ref="G3:H4"/>
  </mergeCells>
  <phoneticPr fontId="28" type="noConversion"/>
  <pageMargins left="0.7" right="0.7" top="0.75" bottom="0.75" header="0.3" footer="0.3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4"/>
  <sheetViews>
    <sheetView showGridLines="0" zoomScale="41" zoomScaleNormal="40" workbookViewId="0">
      <pane xSplit="5" ySplit="4" topLeftCell="H5" activePane="bottomRight" state="frozen"/>
      <selection pane="topRight" activeCell="F1" sqref="F1"/>
      <selection pane="bottomLeft" activeCell="A5" sqref="A5"/>
      <selection pane="bottomRight" activeCell="M6" sqref="M6"/>
    </sheetView>
  </sheetViews>
  <sheetFormatPr baseColWidth="10" defaultColWidth="8.83203125" defaultRowHeight="18"/>
  <cols>
    <col min="1" max="2" width="3.6640625" style="66" customWidth="1"/>
    <col min="3" max="3" width="18.83203125" style="66" customWidth="1"/>
    <col min="4" max="4" width="15.6640625" style="66" customWidth="1"/>
    <col min="5" max="5" width="78.6640625" style="66" customWidth="1"/>
    <col min="6" max="6" width="16.6640625" style="67"/>
    <col min="7" max="7" width="22.33203125" style="67" customWidth="1"/>
    <col min="8" max="8" width="52.33203125" style="67" customWidth="1"/>
    <col min="9" max="9" width="80.33203125" style="66" customWidth="1"/>
    <col min="10" max="10" width="29.5" style="66" customWidth="1"/>
    <col min="11" max="11" width="40.1640625" style="66" customWidth="1"/>
    <col min="12" max="12" width="44.5" style="66" customWidth="1"/>
    <col min="13" max="13" width="33.1640625" style="66" customWidth="1"/>
    <col min="14" max="14" width="151.33203125" style="66" customWidth="1"/>
    <col min="15" max="15" width="10.83203125" style="66"/>
  </cols>
  <sheetData>
    <row r="2" spans="1:15" ht="30" customHeight="1">
      <c r="C2" s="106" t="s">
        <v>655</v>
      </c>
      <c r="D2" s="106"/>
      <c r="E2" s="107"/>
    </row>
    <row r="3" spans="1:15" s="65" customFormat="1" ht="64" customHeight="1">
      <c r="C3" s="186" t="s">
        <v>656</v>
      </c>
      <c r="D3" s="186" t="s">
        <v>624</v>
      </c>
      <c r="E3" s="186" t="s">
        <v>628</v>
      </c>
      <c r="F3" s="186" t="s">
        <v>625</v>
      </c>
      <c r="G3" s="209" t="s">
        <v>659</v>
      </c>
      <c r="H3" s="210"/>
      <c r="I3" s="186" t="s">
        <v>637</v>
      </c>
      <c r="J3" s="225" t="s">
        <v>701</v>
      </c>
      <c r="K3" s="225"/>
      <c r="L3" s="225"/>
      <c r="M3" s="225"/>
      <c r="N3" s="186" t="s">
        <v>670</v>
      </c>
    </row>
    <row r="4" spans="1:15" s="65" customFormat="1" ht="64" customHeight="1">
      <c r="C4" s="187"/>
      <c r="D4" s="187"/>
      <c r="E4" s="187"/>
      <c r="F4" s="187"/>
      <c r="G4" s="211"/>
      <c r="H4" s="212"/>
      <c r="I4" s="187"/>
      <c r="J4" s="226" t="s">
        <v>702</v>
      </c>
      <c r="K4" s="227"/>
      <c r="L4" s="116" t="s">
        <v>688</v>
      </c>
      <c r="M4" s="116" t="s">
        <v>680</v>
      </c>
      <c r="N4" s="187"/>
    </row>
    <row r="5" spans="1:15" s="65" customFormat="1" ht="132" customHeight="1">
      <c r="C5" s="194" t="s">
        <v>657</v>
      </c>
      <c r="D5" s="114" t="s">
        <v>681</v>
      </c>
      <c r="E5" s="115" t="s">
        <v>682</v>
      </c>
      <c r="F5" s="104" t="s">
        <v>626</v>
      </c>
      <c r="G5" s="104" t="s">
        <v>683</v>
      </c>
      <c r="H5" s="197" t="s">
        <v>710</v>
      </c>
      <c r="I5" s="200" t="s">
        <v>708</v>
      </c>
      <c r="J5" s="118" t="s">
        <v>684</v>
      </c>
      <c r="K5" s="117" t="s">
        <v>685</v>
      </c>
      <c r="L5" s="117" t="s">
        <v>703</v>
      </c>
      <c r="M5" s="117" t="s">
        <v>699</v>
      </c>
      <c r="N5" s="228"/>
    </row>
    <row r="6" spans="1:15" s="65" customFormat="1" ht="200" customHeight="1">
      <c r="C6" s="195"/>
      <c r="D6" s="102" t="s">
        <v>1</v>
      </c>
      <c r="E6" s="103" t="s">
        <v>707</v>
      </c>
      <c r="F6" s="104" t="s">
        <v>626</v>
      </c>
      <c r="G6" s="104" t="s">
        <v>683</v>
      </c>
      <c r="H6" s="198"/>
      <c r="I6" s="201"/>
      <c r="J6" s="118" t="s">
        <v>686</v>
      </c>
      <c r="K6" s="117" t="s">
        <v>697</v>
      </c>
      <c r="L6" s="117" t="s">
        <v>698</v>
      </c>
      <c r="M6" s="117" t="s">
        <v>700</v>
      </c>
      <c r="N6" s="229"/>
    </row>
    <row r="7" spans="1:15" s="65" customFormat="1" ht="220" customHeight="1">
      <c r="C7" s="195"/>
      <c r="D7" s="102" t="s">
        <v>2</v>
      </c>
      <c r="E7" s="103" t="s">
        <v>671</v>
      </c>
      <c r="F7" s="104" t="s">
        <v>672</v>
      </c>
      <c r="G7" s="104" t="s">
        <v>673</v>
      </c>
      <c r="H7" s="198"/>
      <c r="I7" s="201"/>
      <c r="J7" s="118" t="s">
        <v>687</v>
      </c>
      <c r="K7" s="117" t="s">
        <v>690</v>
      </c>
      <c r="L7" s="117" t="s">
        <v>705</v>
      </c>
      <c r="M7" s="117" t="s">
        <v>693</v>
      </c>
      <c r="N7" s="229"/>
    </row>
    <row r="8" spans="1:15" s="65" customFormat="1" ht="220" customHeight="1">
      <c r="C8" s="195"/>
      <c r="D8" s="102" t="s">
        <v>621</v>
      </c>
      <c r="E8" s="103" t="s">
        <v>679</v>
      </c>
      <c r="F8" s="104" t="s">
        <v>674</v>
      </c>
      <c r="G8" s="104" t="s">
        <v>675</v>
      </c>
      <c r="H8" s="198"/>
      <c r="I8" s="201"/>
      <c r="J8" s="118" t="s">
        <v>689</v>
      </c>
      <c r="K8" s="117" t="s">
        <v>691</v>
      </c>
      <c r="L8" s="117" t="s">
        <v>706</v>
      </c>
      <c r="M8" s="117" t="s">
        <v>692</v>
      </c>
      <c r="N8" s="229"/>
    </row>
    <row r="9" spans="1:15" s="65" customFormat="1" ht="220" customHeight="1">
      <c r="C9" s="196"/>
      <c r="D9" s="105" t="s">
        <v>3</v>
      </c>
      <c r="E9" s="103" t="s">
        <v>678</v>
      </c>
      <c r="F9" s="101" t="s">
        <v>676</v>
      </c>
      <c r="G9" s="104" t="s">
        <v>677</v>
      </c>
      <c r="H9" s="199"/>
      <c r="I9" s="202"/>
      <c r="J9" s="118" t="s">
        <v>694</v>
      </c>
      <c r="K9" s="117" t="s">
        <v>695</v>
      </c>
      <c r="L9" s="117" t="s">
        <v>704</v>
      </c>
      <c r="M9" s="117" t="s">
        <v>696</v>
      </c>
      <c r="N9" s="230"/>
    </row>
    <row r="10" spans="1:15" s="109" customFormat="1" ht="80" customHeight="1">
      <c r="A10" s="107"/>
      <c r="B10" s="107"/>
      <c r="C10" s="188" t="s">
        <v>658</v>
      </c>
      <c r="D10" s="191" t="s">
        <v>627</v>
      </c>
      <c r="E10" s="111" t="s">
        <v>660</v>
      </c>
      <c r="F10" s="112" t="s">
        <v>629</v>
      </c>
      <c r="G10" s="203" t="s">
        <v>665</v>
      </c>
      <c r="H10" s="206" t="s">
        <v>709</v>
      </c>
      <c r="I10" s="108" t="s">
        <v>667</v>
      </c>
      <c r="J10" s="213" t="s">
        <v>666</v>
      </c>
      <c r="K10" s="214"/>
      <c r="L10" s="214"/>
      <c r="M10" s="215"/>
      <c r="N10" s="222"/>
      <c r="O10" s="107"/>
    </row>
    <row r="11" spans="1:15" s="110" customFormat="1" ht="80" customHeight="1">
      <c r="A11" s="107"/>
      <c r="B11" s="107"/>
      <c r="C11" s="189"/>
      <c r="D11" s="192"/>
      <c r="E11" s="111" t="s">
        <v>661</v>
      </c>
      <c r="F11" s="112" t="s">
        <v>663</v>
      </c>
      <c r="G11" s="204"/>
      <c r="H11" s="207"/>
      <c r="I11" s="108" t="s">
        <v>668</v>
      </c>
      <c r="J11" s="216"/>
      <c r="K11" s="217"/>
      <c r="L11" s="217"/>
      <c r="M11" s="218"/>
      <c r="N11" s="223"/>
      <c r="O11" s="107"/>
    </row>
    <row r="12" spans="1:15" s="109" customFormat="1" ht="80" customHeight="1">
      <c r="A12" s="107"/>
      <c r="B12" s="107"/>
      <c r="C12" s="190"/>
      <c r="D12" s="193"/>
      <c r="E12" s="111" t="s">
        <v>662</v>
      </c>
      <c r="F12" s="113" t="s">
        <v>664</v>
      </c>
      <c r="G12" s="205"/>
      <c r="H12" s="208"/>
      <c r="I12" s="108" t="s">
        <v>669</v>
      </c>
      <c r="J12" s="219"/>
      <c r="K12" s="220"/>
      <c r="L12" s="220"/>
      <c r="M12" s="221"/>
      <c r="N12" s="224"/>
      <c r="O12" s="107"/>
    </row>
    <row r="13" spans="1:15" ht="20" customHeight="1"/>
    <row r="14" spans="1:15" ht="20" customHeight="1"/>
  </sheetData>
  <mergeCells count="19">
    <mergeCell ref="C10:C12"/>
    <mergeCell ref="D10:D12"/>
    <mergeCell ref="N10:N12"/>
    <mergeCell ref="C5:C9"/>
    <mergeCell ref="J10:M12"/>
    <mergeCell ref="I5:I9"/>
    <mergeCell ref="N5:N9"/>
    <mergeCell ref="G10:G12"/>
    <mergeCell ref="H10:H12"/>
    <mergeCell ref="H5:H9"/>
    <mergeCell ref="N3:N4"/>
    <mergeCell ref="C3:C4"/>
    <mergeCell ref="D3:D4"/>
    <mergeCell ref="E3:E4"/>
    <mergeCell ref="F3:F4"/>
    <mergeCell ref="I3:I4"/>
    <mergeCell ref="G3:H4"/>
    <mergeCell ref="J3:M3"/>
    <mergeCell ref="J4:K4"/>
  </mergeCells>
  <phoneticPr fontId="28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055C-3629-8E48-8E36-62F410B933AE}">
  <sheetPr>
    <tabColor theme="9"/>
  </sheetPr>
  <dimension ref="B1:K9"/>
  <sheetViews>
    <sheetView showGridLines="0" workbookViewId="0">
      <selection activeCell="Q6" sqref="Q6:Q8"/>
    </sheetView>
  </sheetViews>
  <sheetFormatPr baseColWidth="10" defaultColWidth="10.83203125" defaultRowHeight="18"/>
  <cols>
    <col min="1" max="1" width="3.5" style="119" customWidth="1"/>
    <col min="2" max="5" width="10.83203125" style="119"/>
    <col min="6" max="6" width="30" style="119" customWidth="1"/>
    <col min="7" max="16384" width="10.83203125" style="119"/>
  </cols>
  <sheetData>
    <row r="1" spans="2:11" ht="19" thickBot="1"/>
    <row r="2" spans="2:11" ht="57" customHeight="1">
      <c r="B2" s="231" t="s">
        <v>766</v>
      </c>
      <c r="C2" s="232"/>
      <c r="D2" s="232"/>
      <c r="E2" s="232"/>
      <c r="F2" s="232"/>
      <c r="G2" s="233"/>
    </row>
    <row r="3" spans="2:11" ht="57" customHeight="1">
      <c r="B3" s="234"/>
      <c r="C3" s="235"/>
      <c r="D3" s="235"/>
      <c r="E3" s="235"/>
      <c r="F3" s="235"/>
      <c r="G3" s="236"/>
    </row>
    <row r="4" spans="2:11" ht="57" customHeight="1">
      <c r="B4" s="234"/>
      <c r="C4" s="235"/>
      <c r="D4" s="235"/>
      <c r="E4" s="235"/>
      <c r="F4" s="235"/>
      <c r="G4" s="236"/>
    </row>
    <row r="5" spans="2:11" ht="57" customHeight="1">
      <c r="B5" s="234"/>
      <c r="C5" s="235"/>
      <c r="D5" s="235"/>
      <c r="E5" s="235"/>
      <c r="F5" s="235"/>
      <c r="G5" s="236"/>
    </row>
    <row r="6" spans="2:11" s="184" customFormat="1" ht="57" customHeight="1">
      <c r="B6" s="234"/>
      <c r="C6" s="235"/>
      <c r="D6" s="235"/>
      <c r="E6" s="235"/>
      <c r="F6" s="235"/>
      <c r="G6" s="236"/>
    </row>
    <row r="7" spans="2:11" ht="1" customHeight="1" thickBot="1">
      <c r="B7" s="237"/>
      <c r="C7" s="238"/>
      <c r="D7" s="238"/>
      <c r="E7" s="238"/>
      <c r="F7" s="238"/>
      <c r="G7" s="239"/>
    </row>
    <row r="9" spans="2:11" ht="51" customHeight="1">
      <c r="C9" s="185"/>
      <c r="D9" s="185"/>
      <c r="E9" s="185"/>
      <c r="F9" s="185"/>
      <c r="G9" s="185"/>
      <c r="H9" s="185"/>
      <c r="I9" s="185"/>
      <c r="J9" s="185"/>
      <c r="K9" s="185"/>
    </row>
  </sheetData>
  <mergeCells count="1">
    <mergeCell ref="B2:G7"/>
  </mergeCells>
  <phoneticPr fontId="2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B8DC6-5EE9-5341-BEC6-5DADA2A67A27}">
  <sheetPr>
    <tabColor rgb="FFFFFF00"/>
  </sheetPr>
  <dimension ref="B2:U27"/>
  <sheetViews>
    <sheetView showGridLines="0" zoomScale="70" zoomScaleNormal="70" workbookViewId="0">
      <pane xSplit="8" ySplit="5" topLeftCell="L6" activePane="bottomRight" state="frozen"/>
      <selection pane="topRight"/>
      <selection pane="bottomLeft"/>
      <selection pane="bottomRight" activeCell="O23" sqref="O23"/>
    </sheetView>
  </sheetViews>
  <sheetFormatPr baseColWidth="10" defaultColWidth="12.1640625" defaultRowHeight="18" outlineLevelCol="1"/>
  <cols>
    <col min="1" max="1" width="12.1640625" style="119"/>
    <col min="2" max="2" width="14" style="178" hidden="1" customWidth="1" outlineLevel="1"/>
    <col min="3" max="3" width="15.6640625" style="178" hidden="1" customWidth="1" outlineLevel="1"/>
    <col min="4" max="7" width="14" style="178" hidden="1" customWidth="1" outlineLevel="1"/>
    <col min="8" max="8" width="10" style="178" customWidth="1" collapsed="1"/>
    <col min="9" max="9" width="18.6640625" style="178" customWidth="1"/>
    <col min="10" max="10" width="25.33203125" style="178" customWidth="1"/>
    <col min="11" max="11" width="20.5" style="178" customWidth="1"/>
    <col min="12" max="12" width="81.5" style="119" bestFit="1" customWidth="1"/>
    <col min="13" max="17" width="15.83203125" style="119" customWidth="1"/>
    <col min="18" max="18" width="19.5" style="119" hidden="1" customWidth="1" outlineLevel="1"/>
    <col min="19" max="19" width="35.83203125" style="119" customWidth="1" collapsed="1"/>
    <col min="20" max="20" width="7.1640625" style="119" customWidth="1"/>
    <col min="21" max="21" width="22" style="119" customWidth="1"/>
    <col min="22" max="16384" width="12.1640625" style="119"/>
  </cols>
  <sheetData>
    <row r="2" spans="2:21" ht="47" customHeight="1" thickBot="1">
      <c r="B2" s="275" t="s">
        <v>731</v>
      </c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146"/>
    </row>
    <row r="3" spans="2:21" s="120" customFormat="1" ht="17" customHeight="1" thickTop="1"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8"/>
      <c r="N3" s="148"/>
      <c r="O3" s="148"/>
      <c r="P3" s="148"/>
      <c r="Q3" s="148"/>
      <c r="R3" s="148"/>
      <c r="S3" s="148"/>
      <c r="T3" s="148"/>
    </row>
    <row r="4" spans="2:21" ht="43" customHeight="1">
      <c r="B4" s="276" t="s">
        <v>732</v>
      </c>
      <c r="C4" s="277"/>
      <c r="D4" s="277"/>
      <c r="E4" s="277"/>
      <c r="F4" s="277"/>
      <c r="G4" s="278"/>
      <c r="H4" s="279" t="s">
        <v>711</v>
      </c>
      <c r="I4" s="279" t="s">
        <v>712</v>
      </c>
      <c r="J4" s="279" t="s">
        <v>713</v>
      </c>
      <c r="K4" s="279" t="s">
        <v>714</v>
      </c>
      <c r="L4" s="279" t="s">
        <v>715</v>
      </c>
      <c r="M4" s="281" t="s">
        <v>733</v>
      </c>
      <c r="N4" s="282"/>
      <c r="O4" s="282"/>
      <c r="P4" s="282"/>
      <c r="Q4" s="283"/>
      <c r="R4" s="284" t="s">
        <v>716</v>
      </c>
      <c r="S4" s="279" t="s">
        <v>717</v>
      </c>
      <c r="T4" s="149"/>
    </row>
    <row r="5" spans="2:21" ht="43" customHeight="1">
      <c r="B5" s="150" t="s">
        <v>734</v>
      </c>
      <c r="C5" s="150" t="s">
        <v>134</v>
      </c>
      <c r="D5" s="150" t="s">
        <v>735</v>
      </c>
      <c r="E5" s="150" t="s">
        <v>136</v>
      </c>
      <c r="F5" s="150" t="s">
        <v>135</v>
      </c>
      <c r="G5" s="150" t="s">
        <v>736</v>
      </c>
      <c r="H5" s="280"/>
      <c r="I5" s="280"/>
      <c r="J5" s="280"/>
      <c r="K5" s="280"/>
      <c r="L5" s="280"/>
      <c r="M5" s="151" t="s">
        <v>737</v>
      </c>
      <c r="N5" s="151" t="s">
        <v>738</v>
      </c>
      <c r="O5" s="151" t="s">
        <v>739</v>
      </c>
      <c r="P5" s="152" t="s">
        <v>762</v>
      </c>
      <c r="Q5" s="152" t="s">
        <v>740</v>
      </c>
      <c r="R5" s="280"/>
      <c r="S5" s="280"/>
      <c r="T5" s="149"/>
    </row>
    <row r="6" spans="2:21" ht="40" customHeight="1">
      <c r="B6" s="274" t="s">
        <v>741</v>
      </c>
      <c r="C6" s="274" t="s">
        <v>741</v>
      </c>
      <c r="D6" s="259" t="s">
        <v>742</v>
      </c>
      <c r="E6" s="274" t="s">
        <v>741</v>
      </c>
      <c r="F6" s="274" t="s">
        <v>741</v>
      </c>
      <c r="G6" s="274" t="s">
        <v>741</v>
      </c>
      <c r="H6" s="241" t="s">
        <v>13</v>
      </c>
      <c r="I6" s="271" t="s">
        <v>718</v>
      </c>
      <c r="J6" s="243" t="s">
        <v>719</v>
      </c>
      <c r="K6" s="245" t="s">
        <v>720</v>
      </c>
      <c r="L6" s="123" t="s">
        <v>721</v>
      </c>
      <c r="M6" s="256" t="s">
        <v>743</v>
      </c>
      <c r="N6" s="256" t="s">
        <v>743</v>
      </c>
      <c r="O6" s="256" t="s">
        <v>743</v>
      </c>
      <c r="P6" s="259" t="s">
        <v>742</v>
      </c>
      <c r="Q6" s="259" t="s">
        <v>742</v>
      </c>
      <c r="R6" s="262">
        <v>45748</v>
      </c>
      <c r="S6" s="264" t="s">
        <v>744</v>
      </c>
      <c r="T6" s="154"/>
    </row>
    <row r="7" spans="2:21" ht="40" customHeight="1">
      <c r="B7" s="260"/>
      <c r="C7" s="260"/>
      <c r="D7" s="260"/>
      <c r="E7" s="260"/>
      <c r="F7" s="260"/>
      <c r="G7" s="260"/>
      <c r="H7" s="242"/>
      <c r="I7" s="272"/>
      <c r="J7" s="273"/>
      <c r="K7" s="246"/>
      <c r="L7" s="128" t="s">
        <v>745</v>
      </c>
      <c r="M7" s="257"/>
      <c r="N7" s="257"/>
      <c r="O7" s="257"/>
      <c r="P7" s="260"/>
      <c r="Q7" s="260"/>
      <c r="R7" s="263"/>
      <c r="S7" s="265"/>
      <c r="T7" s="154"/>
    </row>
    <row r="8" spans="2:21" ht="37" customHeight="1">
      <c r="B8" s="261"/>
      <c r="C8" s="261"/>
      <c r="D8" s="261"/>
      <c r="E8" s="261"/>
      <c r="F8" s="261"/>
      <c r="G8" s="261"/>
      <c r="H8" s="270"/>
      <c r="I8" s="126" t="s">
        <v>722</v>
      </c>
      <c r="J8" s="121" t="s">
        <v>723</v>
      </c>
      <c r="K8" s="127" t="s">
        <v>724</v>
      </c>
      <c r="L8" s="129" t="s">
        <v>725</v>
      </c>
      <c r="M8" s="258"/>
      <c r="N8" s="258"/>
      <c r="O8" s="258"/>
      <c r="P8" s="261"/>
      <c r="Q8" s="261"/>
      <c r="R8" s="130" t="s">
        <v>726</v>
      </c>
      <c r="S8" s="265"/>
      <c r="T8" s="154"/>
    </row>
    <row r="9" spans="2:21" ht="5" customHeight="1">
      <c r="B9" s="156"/>
      <c r="C9" s="156"/>
      <c r="D9" s="156"/>
      <c r="E9" s="156"/>
      <c r="F9" s="156"/>
      <c r="G9" s="156"/>
      <c r="H9" s="131"/>
      <c r="I9" s="132"/>
      <c r="J9" s="132"/>
      <c r="K9" s="133"/>
      <c r="L9" s="134"/>
      <c r="M9" s="134"/>
      <c r="N9" s="134"/>
      <c r="O9" s="134"/>
      <c r="P9" s="134"/>
      <c r="Q9" s="135"/>
      <c r="R9" s="157"/>
      <c r="S9" s="265"/>
      <c r="T9" s="154"/>
    </row>
    <row r="10" spans="2:21" ht="40" customHeight="1">
      <c r="B10" s="158" t="s">
        <v>742</v>
      </c>
      <c r="C10" s="159" t="s">
        <v>746</v>
      </c>
      <c r="D10" s="158" t="s">
        <v>742</v>
      </c>
      <c r="E10" s="158" t="s">
        <v>742</v>
      </c>
      <c r="F10" s="158" t="s">
        <v>742</v>
      </c>
      <c r="G10" s="158" t="s">
        <v>742</v>
      </c>
      <c r="H10" s="241" t="s">
        <v>29</v>
      </c>
      <c r="I10" s="121" t="s">
        <v>747</v>
      </c>
      <c r="J10" s="121" t="s">
        <v>748</v>
      </c>
      <c r="K10" s="125" t="s">
        <v>749</v>
      </c>
      <c r="L10" s="160" t="s">
        <v>750</v>
      </c>
      <c r="M10" s="155" t="s">
        <v>743</v>
      </c>
      <c r="N10" s="155" t="s">
        <v>743</v>
      </c>
      <c r="O10" s="161" t="s">
        <v>742</v>
      </c>
      <c r="P10" s="179" t="s">
        <v>743</v>
      </c>
      <c r="Q10" s="179" t="s">
        <v>743</v>
      </c>
      <c r="R10" s="130" t="s">
        <v>751</v>
      </c>
      <c r="S10" s="265"/>
      <c r="T10" s="154"/>
      <c r="U10" s="162"/>
    </row>
    <row r="11" spans="2:21" ht="40" customHeight="1">
      <c r="B11" s="163"/>
      <c r="C11" s="163"/>
      <c r="D11" s="163"/>
      <c r="E11" s="163"/>
      <c r="F11" s="163"/>
      <c r="G11" s="163"/>
      <c r="H11" s="242"/>
      <c r="I11" s="271" t="s">
        <v>718</v>
      </c>
      <c r="J11" s="273" t="s">
        <v>719</v>
      </c>
      <c r="K11" s="272" t="s">
        <v>720</v>
      </c>
      <c r="L11" s="136" t="s">
        <v>752</v>
      </c>
      <c r="M11" s="153" t="s">
        <v>743</v>
      </c>
      <c r="N11" s="153" t="s">
        <v>743</v>
      </c>
      <c r="O11" s="161" t="s">
        <v>742</v>
      </c>
      <c r="P11" s="161" t="s">
        <v>742</v>
      </c>
      <c r="Q11" s="179" t="s">
        <v>743</v>
      </c>
      <c r="R11" s="130" t="s">
        <v>753</v>
      </c>
      <c r="S11" s="265"/>
      <c r="T11" s="154"/>
    </row>
    <row r="12" spans="2:21" ht="40" customHeight="1">
      <c r="B12" s="164" t="s">
        <v>742</v>
      </c>
      <c r="C12" s="164" t="s">
        <v>742</v>
      </c>
      <c r="D12" s="164" t="s">
        <v>742</v>
      </c>
      <c r="E12" s="164" t="s">
        <v>742</v>
      </c>
      <c r="F12" s="164" t="s">
        <v>742</v>
      </c>
      <c r="G12" s="164" t="s">
        <v>742</v>
      </c>
      <c r="H12" s="242"/>
      <c r="I12" s="272"/>
      <c r="J12" s="273"/>
      <c r="K12" s="272"/>
      <c r="L12" s="128" t="s">
        <v>754</v>
      </c>
      <c r="M12" s="153" t="s">
        <v>743</v>
      </c>
      <c r="N12" s="153" t="s">
        <v>743</v>
      </c>
      <c r="O12" s="161" t="s">
        <v>742</v>
      </c>
      <c r="P12" s="161" t="s">
        <v>742</v>
      </c>
      <c r="Q12" s="179" t="s">
        <v>743</v>
      </c>
      <c r="R12" s="130" t="s">
        <v>753</v>
      </c>
      <c r="S12" s="265"/>
      <c r="T12" s="154"/>
    </row>
    <row r="13" spans="2:21" ht="40" customHeight="1">
      <c r="B13" s="165"/>
      <c r="C13" s="165"/>
      <c r="D13" s="165"/>
      <c r="E13" s="165"/>
      <c r="F13" s="165"/>
      <c r="G13" s="165"/>
      <c r="H13" s="270"/>
      <c r="I13" s="126" t="s">
        <v>722</v>
      </c>
      <c r="J13" s="121" t="s">
        <v>723</v>
      </c>
      <c r="K13" s="127" t="s">
        <v>724</v>
      </c>
      <c r="L13" s="129" t="s">
        <v>767</v>
      </c>
      <c r="M13" s="153" t="s">
        <v>743</v>
      </c>
      <c r="N13" s="153" t="s">
        <v>743</v>
      </c>
      <c r="O13" s="161" t="s">
        <v>742</v>
      </c>
      <c r="P13" s="161" t="s">
        <v>742</v>
      </c>
      <c r="Q13" s="179" t="s">
        <v>743</v>
      </c>
      <c r="R13" s="130" t="s">
        <v>726</v>
      </c>
      <c r="S13" s="265"/>
      <c r="T13" s="154"/>
    </row>
    <row r="14" spans="2:21" ht="5" customHeight="1">
      <c r="B14" s="166"/>
      <c r="C14" s="166"/>
      <c r="D14" s="166"/>
      <c r="E14" s="166"/>
      <c r="F14" s="166"/>
      <c r="G14" s="166"/>
      <c r="H14" s="137"/>
      <c r="I14" s="138"/>
      <c r="J14" s="138"/>
      <c r="K14" s="139"/>
      <c r="L14" s="140"/>
      <c r="M14" s="167"/>
      <c r="N14" s="167"/>
      <c r="O14" s="138"/>
      <c r="P14" s="138"/>
      <c r="Q14" s="141"/>
      <c r="R14" s="168"/>
      <c r="S14" s="265"/>
      <c r="T14" s="154"/>
    </row>
    <row r="15" spans="2:21" ht="40" customHeight="1">
      <c r="B15" s="169" t="s">
        <v>742</v>
      </c>
      <c r="C15" s="170" t="s">
        <v>746</v>
      </c>
      <c r="D15" s="169" t="s">
        <v>742</v>
      </c>
      <c r="E15" s="169" t="s">
        <v>742</v>
      </c>
      <c r="F15" s="169" t="s">
        <v>742</v>
      </c>
      <c r="G15" s="169" t="s">
        <v>742</v>
      </c>
      <c r="H15" s="241" t="s">
        <v>729</v>
      </c>
      <c r="I15" s="121" t="s">
        <v>747</v>
      </c>
      <c r="J15" s="121" t="s">
        <v>748</v>
      </c>
      <c r="K15" s="125" t="s">
        <v>749</v>
      </c>
      <c r="L15" s="160" t="s">
        <v>750</v>
      </c>
      <c r="M15" s="155" t="s">
        <v>743</v>
      </c>
      <c r="N15" s="161" t="s">
        <v>742</v>
      </c>
      <c r="O15" s="161" t="s">
        <v>742</v>
      </c>
      <c r="P15" s="180" t="s">
        <v>743</v>
      </c>
      <c r="Q15" s="180" t="s">
        <v>743</v>
      </c>
      <c r="R15" s="181">
        <v>45748</v>
      </c>
      <c r="S15" s="265"/>
      <c r="T15" s="154"/>
      <c r="U15" s="162"/>
    </row>
    <row r="16" spans="2:21" ht="40" customHeight="1">
      <c r="B16" s="163"/>
      <c r="C16" s="163"/>
      <c r="D16" s="163"/>
      <c r="E16" s="163"/>
      <c r="F16" s="163"/>
      <c r="G16" s="163"/>
      <c r="H16" s="242"/>
      <c r="I16" s="271" t="s">
        <v>718</v>
      </c>
      <c r="J16" s="273" t="s">
        <v>719</v>
      </c>
      <c r="K16" s="272" t="s">
        <v>720</v>
      </c>
      <c r="L16" s="136" t="s">
        <v>727</v>
      </c>
      <c r="M16" s="153" t="s">
        <v>743</v>
      </c>
      <c r="N16" s="161" t="s">
        <v>742</v>
      </c>
      <c r="O16" s="161" t="s">
        <v>742</v>
      </c>
      <c r="P16" s="161" t="s">
        <v>742</v>
      </c>
      <c r="Q16" s="179" t="s">
        <v>743</v>
      </c>
      <c r="R16" s="142">
        <v>45748</v>
      </c>
      <c r="S16" s="265"/>
      <c r="T16" s="154"/>
    </row>
    <row r="17" spans="2:21" ht="40" customHeight="1">
      <c r="B17" s="164" t="s">
        <v>742</v>
      </c>
      <c r="C17" s="164" t="s">
        <v>742</v>
      </c>
      <c r="D17" s="164" t="s">
        <v>742</v>
      </c>
      <c r="E17" s="164" t="s">
        <v>742</v>
      </c>
      <c r="F17" s="164" t="s">
        <v>742</v>
      </c>
      <c r="G17" s="164" t="s">
        <v>742</v>
      </c>
      <c r="H17" s="242"/>
      <c r="I17" s="272"/>
      <c r="J17" s="273"/>
      <c r="K17" s="272"/>
      <c r="L17" s="143" t="s">
        <v>755</v>
      </c>
      <c r="M17" s="153" t="s">
        <v>743</v>
      </c>
      <c r="N17" s="161" t="s">
        <v>742</v>
      </c>
      <c r="O17" s="161" t="s">
        <v>742</v>
      </c>
      <c r="P17" s="161" t="s">
        <v>742</v>
      </c>
      <c r="Q17" s="179" t="s">
        <v>743</v>
      </c>
      <c r="R17" s="130" t="s">
        <v>728</v>
      </c>
      <c r="S17" s="265"/>
      <c r="T17" s="154"/>
    </row>
    <row r="18" spans="2:21" ht="43" customHeight="1">
      <c r="B18" s="165"/>
      <c r="C18" s="165"/>
      <c r="D18" s="165"/>
      <c r="E18" s="165"/>
      <c r="F18" s="165"/>
      <c r="G18" s="165"/>
      <c r="H18" s="270"/>
      <c r="I18" s="126" t="s">
        <v>722</v>
      </c>
      <c r="J18" s="121" t="s">
        <v>723</v>
      </c>
      <c r="K18" s="127" t="s">
        <v>724</v>
      </c>
      <c r="L18" s="129" t="s">
        <v>756</v>
      </c>
      <c r="M18" s="153" t="s">
        <v>743</v>
      </c>
      <c r="N18" s="161" t="s">
        <v>742</v>
      </c>
      <c r="O18" s="161" t="s">
        <v>742</v>
      </c>
      <c r="P18" s="161" t="s">
        <v>742</v>
      </c>
      <c r="Q18" s="179" t="s">
        <v>743</v>
      </c>
      <c r="R18" s="130" t="s">
        <v>726</v>
      </c>
      <c r="S18" s="265"/>
      <c r="T18" s="154"/>
    </row>
    <row r="19" spans="2:21" ht="5" customHeight="1">
      <c r="B19" s="156"/>
      <c r="C19" s="156"/>
      <c r="D19" s="156"/>
      <c r="E19" s="156"/>
      <c r="F19" s="156"/>
      <c r="G19" s="156"/>
      <c r="H19" s="131"/>
      <c r="I19" s="132"/>
      <c r="J19" s="132"/>
      <c r="K19" s="133"/>
      <c r="L19" s="134"/>
      <c r="M19" s="171"/>
      <c r="N19" s="171"/>
      <c r="O19" s="132"/>
      <c r="P19" s="132"/>
      <c r="Q19" s="132"/>
      <c r="R19" s="157"/>
      <c r="S19" s="265"/>
      <c r="T19" s="154"/>
    </row>
    <row r="20" spans="2:21" ht="38" customHeight="1">
      <c r="B20" s="158" t="s">
        <v>742</v>
      </c>
      <c r="C20" s="159" t="s">
        <v>746</v>
      </c>
      <c r="D20" s="158" t="s">
        <v>742</v>
      </c>
      <c r="E20" s="158" t="s">
        <v>742</v>
      </c>
      <c r="F20" s="158" t="s">
        <v>742</v>
      </c>
      <c r="G20" s="158" t="s">
        <v>742</v>
      </c>
      <c r="H20" s="241" t="s">
        <v>73</v>
      </c>
      <c r="I20" s="122" t="s">
        <v>747</v>
      </c>
      <c r="J20" s="122" t="s">
        <v>748</v>
      </c>
      <c r="K20" s="145" t="s">
        <v>749</v>
      </c>
      <c r="L20" s="136" t="s">
        <v>757</v>
      </c>
      <c r="M20" s="161" t="s">
        <v>742</v>
      </c>
      <c r="N20" s="161" t="s">
        <v>742</v>
      </c>
      <c r="O20" s="161" t="s">
        <v>742</v>
      </c>
      <c r="P20" s="179" t="s">
        <v>743</v>
      </c>
      <c r="Q20" s="179" t="s">
        <v>743</v>
      </c>
      <c r="R20" s="124">
        <v>45748</v>
      </c>
      <c r="S20" s="265"/>
      <c r="T20" s="154"/>
      <c r="U20" s="162"/>
    </row>
    <row r="21" spans="2:21" ht="40" customHeight="1">
      <c r="B21" s="172"/>
      <c r="C21" s="172"/>
      <c r="D21" s="172"/>
      <c r="E21" s="172"/>
      <c r="F21" s="172"/>
      <c r="G21" s="172"/>
      <c r="H21" s="242"/>
      <c r="I21" s="243" t="s">
        <v>718</v>
      </c>
      <c r="J21" s="243" t="s">
        <v>719</v>
      </c>
      <c r="K21" s="245" t="s">
        <v>720</v>
      </c>
      <c r="L21" s="144" t="s">
        <v>752</v>
      </c>
      <c r="M21" s="161" t="s">
        <v>742</v>
      </c>
      <c r="N21" s="161" t="s">
        <v>742</v>
      </c>
      <c r="O21" s="161" t="s">
        <v>742</v>
      </c>
      <c r="P21" s="179" t="s">
        <v>743</v>
      </c>
      <c r="Q21" s="179" t="s">
        <v>743</v>
      </c>
      <c r="R21" s="124">
        <v>45748</v>
      </c>
      <c r="S21" s="265"/>
      <c r="T21" s="154"/>
    </row>
    <row r="22" spans="2:21" ht="40" customHeight="1">
      <c r="B22" s="173" t="s">
        <v>741</v>
      </c>
      <c r="C22" s="173" t="s">
        <v>741</v>
      </c>
      <c r="D22" s="173" t="s">
        <v>741</v>
      </c>
      <c r="E22" s="173" t="s">
        <v>741</v>
      </c>
      <c r="F22" s="173" t="s">
        <v>741</v>
      </c>
      <c r="G22" s="173" t="s">
        <v>741</v>
      </c>
      <c r="H22" s="242"/>
      <c r="I22" s="244"/>
      <c r="J22" s="244"/>
      <c r="K22" s="246"/>
      <c r="L22" s="129" t="s">
        <v>758</v>
      </c>
      <c r="M22" s="161" t="s">
        <v>742</v>
      </c>
      <c r="N22" s="161" t="s">
        <v>742</v>
      </c>
      <c r="O22" s="161" t="s">
        <v>742</v>
      </c>
      <c r="P22" s="161" t="s">
        <v>742</v>
      </c>
      <c r="Q22" s="179" t="s">
        <v>743</v>
      </c>
      <c r="R22" s="130" t="s">
        <v>759</v>
      </c>
      <c r="S22" s="265"/>
      <c r="T22" s="154"/>
    </row>
    <row r="23" spans="2:21" ht="40" customHeight="1">
      <c r="B23" s="174"/>
      <c r="C23" s="174"/>
      <c r="D23" s="174"/>
      <c r="E23" s="174"/>
      <c r="F23" s="174"/>
      <c r="G23" s="174"/>
      <c r="H23" s="242"/>
      <c r="I23" s="122" t="s">
        <v>722</v>
      </c>
      <c r="J23" s="122" t="s">
        <v>723</v>
      </c>
      <c r="K23" s="125" t="s">
        <v>724</v>
      </c>
      <c r="L23" s="129" t="s">
        <v>756</v>
      </c>
      <c r="M23" s="161" t="s">
        <v>742</v>
      </c>
      <c r="N23" s="161" t="s">
        <v>742</v>
      </c>
      <c r="O23" s="161" t="s">
        <v>742</v>
      </c>
      <c r="P23" s="179" t="s">
        <v>743</v>
      </c>
      <c r="Q23" s="179" t="s">
        <v>743</v>
      </c>
      <c r="R23" s="130" t="s">
        <v>726</v>
      </c>
      <c r="S23" s="265"/>
      <c r="T23" s="154"/>
    </row>
    <row r="24" spans="2:21" ht="5" customHeight="1">
      <c r="B24" s="175"/>
      <c r="C24" s="175"/>
      <c r="D24" s="175"/>
      <c r="E24" s="175"/>
      <c r="F24" s="175"/>
      <c r="G24" s="175"/>
      <c r="H24" s="137"/>
      <c r="I24" s="138"/>
      <c r="J24" s="138"/>
      <c r="K24" s="139"/>
      <c r="L24" s="140"/>
      <c r="M24" s="167"/>
      <c r="N24" s="167"/>
      <c r="O24" s="138"/>
      <c r="P24" s="138"/>
      <c r="Q24" s="138"/>
      <c r="R24" s="168"/>
      <c r="S24" s="265"/>
      <c r="T24" s="154"/>
    </row>
    <row r="25" spans="2:21" ht="38" customHeight="1">
      <c r="B25" s="240" t="s">
        <v>741</v>
      </c>
      <c r="C25" s="240" t="s">
        <v>741</v>
      </c>
      <c r="D25" s="240" t="s">
        <v>741</v>
      </c>
      <c r="E25" s="240" t="s">
        <v>741</v>
      </c>
      <c r="F25" s="240" t="s">
        <v>741</v>
      </c>
      <c r="G25" s="240" t="s">
        <v>741</v>
      </c>
      <c r="H25" s="176" t="s">
        <v>738</v>
      </c>
      <c r="I25" s="247" t="s">
        <v>760</v>
      </c>
      <c r="J25" s="248"/>
      <c r="K25" s="248"/>
      <c r="L25" s="249"/>
      <c r="M25" s="182" t="s">
        <v>743</v>
      </c>
      <c r="N25" s="182" t="s">
        <v>743</v>
      </c>
      <c r="O25" s="182" t="s">
        <v>743</v>
      </c>
      <c r="P25" s="182" t="s">
        <v>743</v>
      </c>
      <c r="Q25" s="183" t="s">
        <v>742</v>
      </c>
      <c r="R25" s="267" t="s">
        <v>730</v>
      </c>
      <c r="S25" s="265"/>
      <c r="T25" s="154"/>
    </row>
    <row r="26" spans="2:21" ht="38" customHeight="1">
      <c r="B26" s="240"/>
      <c r="C26" s="240"/>
      <c r="D26" s="240"/>
      <c r="E26" s="240"/>
      <c r="F26" s="240"/>
      <c r="G26" s="240"/>
      <c r="H26" s="176" t="s">
        <v>737</v>
      </c>
      <c r="I26" s="250"/>
      <c r="J26" s="251"/>
      <c r="K26" s="251"/>
      <c r="L26" s="252"/>
      <c r="M26" s="182" t="s">
        <v>743</v>
      </c>
      <c r="N26" s="183" t="s">
        <v>742</v>
      </c>
      <c r="O26" s="182" t="s">
        <v>743</v>
      </c>
      <c r="P26" s="182" t="s">
        <v>743</v>
      </c>
      <c r="Q26" s="183" t="s">
        <v>742</v>
      </c>
      <c r="R26" s="268"/>
      <c r="S26" s="265"/>
      <c r="T26" s="154"/>
    </row>
    <row r="27" spans="2:21" ht="38" customHeight="1">
      <c r="B27" s="240"/>
      <c r="C27" s="240"/>
      <c r="D27" s="240"/>
      <c r="E27" s="240"/>
      <c r="F27" s="240"/>
      <c r="G27" s="240"/>
      <c r="H27" s="177" t="s">
        <v>761</v>
      </c>
      <c r="I27" s="253"/>
      <c r="J27" s="254"/>
      <c r="K27" s="254"/>
      <c r="L27" s="255"/>
      <c r="M27" s="183" t="s">
        <v>742</v>
      </c>
      <c r="N27" s="183" t="s">
        <v>742</v>
      </c>
      <c r="O27" s="182" t="s">
        <v>743</v>
      </c>
      <c r="P27" s="182" t="s">
        <v>743</v>
      </c>
      <c r="Q27" s="183" t="s">
        <v>742</v>
      </c>
      <c r="R27" s="269"/>
      <c r="S27" s="266"/>
      <c r="T27" s="154"/>
    </row>
  </sheetData>
  <mergeCells count="47">
    <mergeCell ref="B2:S2"/>
    <mergeCell ref="B4:G4"/>
    <mergeCell ref="H4:H5"/>
    <mergeCell ref="I4:I5"/>
    <mergeCell ref="J4:J5"/>
    <mergeCell ref="K4:K5"/>
    <mergeCell ref="L4:L5"/>
    <mergeCell ref="M4:Q4"/>
    <mergeCell ref="R4:R5"/>
    <mergeCell ref="S4:S5"/>
    <mergeCell ref="N6:N8"/>
    <mergeCell ref="B6:B8"/>
    <mergeCell ref="C6:C8"/>
    <mergeCell ref="D6:D8"/>
    <mergeCell ref="E6:E8"/>
    <mergeCell ref="F6:F8"/>
    <mergeCell ref="G6:G8"/>
    <mergeCell ref="H6:H8"/>
    <mergeCell ref="I6:I7"/>
    <mergeCell ref="J6:J7"/>
    <mergeCell ref="K6:K7"/>
    <mergeCell ref="M6:M8"/>
    <mergeCell ref="H10:H13"/>
    <mergeCell ref="I11:I12"/>
    <mergeCell ref="J11:J12"/>
    <mergeCell ref="K11:K12"/>
    <mergeCell ref="H15:H18"/>
    <mergeCell ref="I16:I17"/>
    <mergeCell ref="J16:J17"/>
    <mergeCell ref="K16:K17"/>
    <mergeCell ref="O6:O8"/>
    <mergeCell ref="P6:P8"/>
    <mergeCell ref="Q6:Q8"/>
    <mergeCell ref="R6:R7"/>
    <mergeCell ref="S6:S27"/>
    <mergeCell ref="R25:R27"/>
    <mergeCell ref="H20:H23"/>
    <mergeCell ref="I21:I22"/>
    <mergeCell ref="J21:J22"/>
    <mergeCell ref="K21:K22"/>
    <mergeCell ref="I25:L27"/>
    <mergeCell ref="G25:G27"/>
    <mergeCell ref="B25:B27"/>
    <mergeCell ref="C25:C27"/>
    <mergeCell ref="D25:D27"/>
    <mergeCell ref="E25:E27"/>
    <mergeCell ref="F25:F27"/>
  </mergeCells>
  <phoneticPr fontId="28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无上级营业所最低目标"/>
  <dimension ref="A1:I418"/>
  <sheetViews>
    <sheetView workbookViewId="0">
      <selection activeCell="I4" sqref="I4"/>
    </sheetView>
  </sheetViews>
  <sheetFormatPr baseColWidth="10" defaultColWidth="13.83203125" defaultRowHeight="18" customHeight="1"/>
  <cols>
    <col min="1" max="2" width="12.6640625" customWidth="1"/>
    <col min="3" max="5" width="11.6640625" customWidth="1"/>
    <col min="6" max="6" width="21.6640625" customWidth="1"/>
    <col min="7" max="7" width="22.6640625" customWidth="1"/>
    <col min="8" max="8" width="21.6640625" customWidth="1"/>
    <col min="9" max="9" width="20.6640625" customWidth="1"/>
  </cols>
  <sheetData>
    <row r="1" spans="1:9" ht="29.25" customHeight="1">
      <c r="B1" s="44"/>
      <c r="C1" s="45"/>
      <c r="F1" s="46"/>
      <c r="H1" s="44"/>
      <c r="I1" s="44"/>
    </row>
    <row r="2" spans="1:9" ht="29.25" customHeight="1">
      <c r="A2" s="287" t="s">
        <v>0</v>
      </c>
      <c r="B2" s="287" t="s">
        <v>1</v>
      </c>
      <c r="C2" s="287" t="s">
        <v>130</v>
      </c>
      <c r="D2" s="287" t="s">
        <v>131</v>
      </c>
      <c r="E2" s="287" t="s">
        <v>132</v>
      </c>
      <c r="F2" s="285" t="s">
        <v>133</v>
      </c>
      <c r="G2" s="286"/>
      <c r="H2" s="286"/>
      <c r="I2" s="286"/>
    </row>
    <row r="3" spans="1:9" ht="38.25" customHeight="1">
      <c r="A3" s="288"/>
      <c r="B3" s="288"/>
      <c r="C3" s="288"/>
      <c r="D3" s="288"/>
      <c r="E3" s="288"/>
      <c r="F3" s="47" t="s">
        <v>134</v>
      </c>
      <c r="G3" s="47" t="s">
        <v>135</v>
      </c>
      <c r="H3" s="47" t="s">
        <v>9</v>
      </c>
      <c r="I3" s="47" t="s">
        <v>136</v>
      </c>
    </row>
    <row r="4" spans="1:9" ht="16">
      <c r="A4" t="s">
        <v>134</v>
      </c>
      <c r="B4" s="44" t="s">
        <v>16</v>
      </c>
      <c r="C4" t="s">
        <v>49</v>
      </c>
      <c r="D4" t="s">
        <v>137</v>
      </c>
      <c r="E4" t="s">
        <v>138</v>
      </c>
      <c r="F4" s="48">
        <v>150000</v>
      </c>
      <c r="G4" s="49">
        <v>150000</v>
      </c>
      <c r="H4" s="49">
        <v>112500</v>
      </c>
      <c r="I4" s="49">
        <v>75000</v>
      </c>
    </row>
    <row r="5" spans="1:9" ht="16">
      <c r="A5" t="s">
        <v>134</v>
      </c>
      <c r="B5" s="44" t="s">
        <v>16</v>
      </c>
      <c r="C5" t="s">
        <v>49</v>
      </c>
      <c r="D5" t="s">
        <v>137</v>
      </c>
      <c r="E5" t="s">
        <v>139</v>
      </c>
      <c r="F5" s="48">
        <v>180000</v>
      </c>
      <c r="G5" s="49">
        <v>180000</v>
      </c>
      <c r="H5" s="49">
        <v>135000</v>
      </c>
      <c r="I5" s="49">
        <v>90000</v>
      </c>
    </row>
    <row r="6" spans="1:9" ht="16">
      <c r="A6" t="s">
        <v>134</v>
      </c>
      <c r="B6" s="44" t="s">
        <v>16</v>
      </c>
      <c r="C6" t="s">
        <v>49</v>
      </c>
      <c r="D6" t="s">
        <v>137</v>
      </c>
      <c r="E6" t="s">
        <v>88</v>
      </c>
      <c r="F6" s="48">
        <v>180000</v>
      </c>
      <c r="G6" s="49">
        <v>180000</v>
      </c>
      <c r="H6" s="49">
        <v>135000</v>
      </c>
      <c r="I6" s="49">
        <v>90000</v>
      </c>
    </row>
    <row r="7" spans="1:9" ht="16">
      <c r="A7" t="s">
        <v>134</v>
      </c>
      <c r="B7" s="44" t="s">
        <v>16</v>
      </c>
      <c r="C7" t="s">
        <v>49</v>
      </c>
      <c r="D7" t="s">
        <v>137</v>
      </c>
      <c r="E7" t="s">
        <v>140</v>
      </c>
      <c r="F7" s="48">
        <v>120000</v>
      </c>
      <c r="G7" s="49">
        <v>120000</v>
      </c>
      <c r="H7" s="49">
        <v>90000</v>
      </c>
      <c r="I7" s="49">
        <v>60000</v>
      </c>
    </row>
    <row r="8" spans="1:9" ht="16">
      <c r="A8" t="s">
        <v>134</v>
      </c>
      <c r="B8" s="44" t="s">
        <v>16</v>
      </c>
      <c r="C8" t="s">
        <v>49</v>
      </c>
      <c r="D8" t="s">
        <v>137</v>
      </c>
      <c r="E8" t="s">
        <v>141</v>
      </c>
      <c r="F8" s="48">
        <v>120000</v>
      </c>
      <c r="G8" s="49">
        <v>120000</v>
      </c>
      <c r="H8" s="49">
        <v>90000</v>
      </c>
      <c r="I8" s="49">
        <v>60000</v>
      </c>
    </row>
    <row r="9" spans="1:9" ht="16">
      <c r="A9" t="s">
        <v>134</v>
      </c>
      <c r="B9" s="44" t="s">
        <v>16</v>
      </c>
      <c r="C9" t="s">
        <v>49</v>
      </c>
      <c r="D9" t="s">
        <v>137</v>
      </c>
      <c r="E9" t="s">
        <v>142</v>
      </c>
      <c r="F9" s="48">
        <v>120000</v>
      </c>
      <c r="G9" s="49">
        <v>120000</v>
      </c>
      <c r="H9" s="49">
        <v>90000</v>
      </c>
      <c r="I9" s="49">
        <v>60000</v>
      </c>
    </row>
    <row r="10" spans="1:9" ht="16">
      <c r="A10" t="s">
        <v>134</v>
      </c>
      <c r="B10" s="44" t="s">
        <v>16</v>
      </c>
      <c r="C10" t="s">
        <v>49</v>
      </c>
      <c r="D10" t="s">
        <v>137</v>
      </c>
      <c r="E10" t="s">
        <v>143</v>
      </c>
      <c r="F10" s="48">
        <v>150000</v>
      </c>
      <c r="G10" s="49">
        <v>150000</v>
      </c>
      <c r="H10" s="49">
        <v>112500</v>
      </c>
      <c r="I10" s="49">
        <v>75000</v>
      </c>
    </row>
    <row r="11" spans="1:9" ht="16">
      <c r="A11" t="s">
        <v>134</v>
      </c>
      <c r="B11" s="44" t="s">
        <v>16</v>
      </c>
      <c r="C11" t="s">
        <v>49</v>
      </c>
      <c r="D11" t="s">
        <v>137</v>
      </c>
      <c r="E11" t="s">
        <v>144</v>
      </c>
      <c r="F11" s="48">
        <v>120000</v>
      </c>
      <c r="G11" s="49">
        <v>120000</v>
      </c>
      <c r="H11" s="49">
        <v>90000</v>
      </c>
      <c r="I11" s="49">
        <v>60000</v>
      </c>
    </row>
    <row r="12" spans="1:9" ht="16">
      <c r="A12" t="s">
        <v>134</v>
      </c>
      <c r="B12" s="44" t="s">
        <v>16</v>
      </c>
      <c r="C12" t="s">
        <v>49</v>
      </c>
      <c r="D12" t="s">
        <v>137</v>
      </c>
      <c r="E12" t="s">
        <v>145</v>
      </c>
      <c r="F12" s="48">
        <v>180000</v>
      </c>
      <c r="G12" s="49">
        <v>180000</v>
      </c>
      <c r="H12" s="49">
        <v>135000</v>
      </c>
      <c r="I12" s="49">
        <v>90000</v>
      </c>
    </row>
    <row r="13" spans="1:9" ht="16">
      <c r="A13" t="s">
        <v>134</v>
      </c>
      <c r="B13" s="44" t="s">
        <v>16</v>
      </c>
      <c r="C13" t="s">
        <v>49</v>
      </c>
      <c r="D13" t="s">
        <v>137</v>
      </c>
      <c r="E13" t="s">
        <v>146</v>
      </c>
      <c r="F13" s="48">
        <v>120000</v>
      </c>
      <c r="G13" s="49">
        <v>120000</v>
      </c>
      <c r="H13" s="49">
        <v>90000</v>
      </c>
      <c r="I13" s="49">
        <v>60000</v>
      </c>
    </row>
    <row r="14" spans="1:9" ht="16">
      <c r="A14" t="s">
        <v>134</v>
      </c>
      <c r="B14" s="44" t="s">
        <v>16</v>
      </c>
      <c r="C14" t="s">
        <v>49</v>
      </c>
      <c r="D14" t="s">
        <v>137</v>
      </c>
      <c r="E14" t="s">
        <v>147</v>
      </c>
      <c r="F14" s="48">
        <v>150000</v>
      </c>
      <c r="G14" s="49">
        <v>150000</v>
      </c>
      <c r="H14" s="49">
        <v>112500</v>
      </c>
      <c r="I14" s="49">
        <v>75000</v>
      </c>
    </row>
    <row r="15" spans="1:9" ht="16">
      <c r="A15" t="s">
        <v>134</v>
      </c>
      <c r="B15" s="44" t="s">
        <v>16</v>
      </c>
      <c r="C15" t="s">
        <v>48</v>
      </c>
      <c r="D15" t="s">
        <v>148</v>
      </c>
      <c r="E15" t="s">
        <v>149</v>
      </c>
      <c r="F15" s="48">
        <v>120000</v>
      </c>
      <c r="G15" s="49">
        <v>120000</v>
      </c>
      <c r="H15" s="49">
        <v>90000</v>
      </c>
      <c r="I15" s="49">
        <v>60000</v>
      </c>
    </row>
    <row r="16" spans="1:9" ht="16">
      <c r="A16" t="s">
        <v>134</v>
      </c>
      <c r="B16" s="44" t="s">
        <v>16</v>
      </c>
      <c r="C16" t="s">
        <v>48</v>
      </c>
      <c r="D16" t="s">
        <v>148</v>
      </c>
      <c r="E16" t="s">
        <v>150</v>
      </c>
      <c r="F16" s="48">
        <v>120000</v>
      </c>
      <c r="G16" s="49">
        <v>120000</v>
      </c>
      <c r="H16" s="49">
        <v>90000</v>
      </c>
      <c r="I16" s="49">
        <v>60000</v>
      </c>
    </row>
    <row r="17" spans="1:9" ht="16">
      <c r="A17" t="s">
        <v>134</v>
      </c>
      <c r="B17" s="44" t="s">
        <v>16</v>
      </c>
      <c r="C17" t="s">
        <v>48</v>
      </c>
      <c r="D17" t="s">
        <v>148</v>
      </c>
      <c r="E17" t="s">
        <v>151</v>
      </c>
      <c r="F17" s="48">
        <v>150000</v>
      </c>
      <c r="G17" s="49">
        <v>150000</v>
      </c>
      <c r="H17" s="49">
        <v>112500</v>
      </c>
      <c r="I17" s="49">
        <v>75000</v>
      </c>
    </row>
    <row r="18" spans="1:9" ht="16">
      <c r="A18" t="s">
        <v>134</v>
      </c>
      <c r="B18" s="44" t="s">
        <v>16</v>
      </c>
      <c r="C18" t="s">
        <v>48</v>
      </c>
      <c r="D18" t="s">
        <v>148</v>
      </c>
      <c r="E18" t="s">
        <v>152</v>
      </c>
      <c r="F18" s="48">
        <v>150000</v>
      </c>
      <c r="G18" s="49">
        <v>150000</v>
      </c>
      <c r="H18" s="49">
        <v>112500</v>
      </c>
      <c r="I18" s="49">
        <v>75000</v>
      </c>
    </row>
    <row r="19" spans="1:9" ht="16">
      <c r="A19" t="s">
        <v>134</v>
      </c>
      <c r="B19" s="44" t="s">
        <v>16</v>
      </c>
      <c r="C19" t="s">
        <v>48</v>
      </c>
      <c r="D19" t="s">
        <v>148</v>
      </c>
      <c r="E19" t="s">
        <v>153</v>
      </c>
      <c r="F19" s="48">
        <v>120000</v>
      </c>
      <c r="G19" s="49">
        <v>120000</v>
      </c>
      <c r="H19" s="49">
        <v>90000</v>
      </c>
      <c r="I19" s="49">
        <v>60000</v>
      </c>
    </row>
    <row r="20" spans="1:9" ht="16">
      <c r="A20" t="s">
        <v>134</v>
      </c>
      <c r="B20" s="44" t="s">
        <v>16</v>
      </c>
      <c r="C20" t="s">
        <v>48</v>
      </c>
      <c r="D20" t="s">
        <v>148</v>
      </c>
      <c r="E20" t="s">
        <v>154</v>
      </c>
      <c r="F20" s="48">
        <v>120000</v>
      </c>
      <c r="G20" s="49">
        <v>120000</v>
      </c>
      <c r="H20" s="49">
        <v>90000</v>
      </c>
      <c r="I20" s="49">
        <v>60000</v>
      </c>
    </row>
    <row r="21" spans="1:9" ht="16">
      <c r="A21" t="s">
        <v>134</v>
      </c>
      <c r="B21" s="44" t="s">
        <v>16</v>
      </c>
      <c r="C21" t="s">
        <v>48</v>
      </c>
      <c r="D21" t="s">
        <v>148</v>
      </c>
      <c r="E21" t="s">
        <v>155</v>
      </c>
      <c r="F21" s="48">
        <v>120000</v>
      </c>
      <c r="G21" s="49">
        <v>120000</v>
      </c>
      <c r="H21" s="49">
        <v>90000</v>
      </c>
      <c r="I21" s="49">
        <v>60000</v>
      </c>
    </row>
    <row r="22" spans="1:9" ht="16">
      <c r="A22" t="s">
        <v>134</v>
      </c>
      <c r="B22" s="44" t="s">
        <v>16</v>
      </c>
      <c r="C22" t="s">
        <v>48</v>
      </c>
      <c r="D22" t="s">
        <v>148</v>
      </c>
      <c r="E22" t="s">
        <v>156</v>
      </c>
      <c r="F22" s="48">
        <v>120000</v>
      </c>
      <c r="G22" s="49">
        <v>120000</v>
      </c>
      <c r="H22" s="49">
        <v>90000</v>
      </c>
      <c r="I22" s="49">
        <v>60000</v>
      </c>
    </row>
    <row r="23" spans="1:9" ht="16">
      <c r="A23" t="s">
        <v>134</v>
      </c>
      <c r="B23" s="44" t="s">
        <v>16</v>
      </c>
      <c r="C23" t="s">
        <v>48</v>
      </c>
      <c r="D23" t="s">
        <v>148</v>
      </c>
      <c r="E23" t="s">
        <v>157</v>
      </c>
      <c r="F23" s="48">
        <v>180000</v>
      </c>
      <c r="G23" s="49">
        <v>180000</v>
      </c>
      <c r="H23" s="49">
        <v>135000</v>
      </c>
      <c r="I23" s="49">
        <v>90000</v>
      </c>
    </row>
    <row r="24" spans="1:9" ht="16">
      <c r="A24" t="s">
        <v>134</v>
      </c>
      <c r="B24" s="44" t="s">
        <v>16</v>
      </c>
      <c r="C24" t="s">
        <v>48</v>
      </c>
      <c r="D24" t="s">
        <v>148</v>
      </c>
      <c r="E24" t="s">
        <v>158</v>
      </c>
      <c r="F24" s="48">
        <v>180000</v>
      </c>
      <c r="G24" s="49">
        <v>180000</v>
      </c>
      <c r="H24" s="49">
        <v>135000</v>
      </c>
      <c r="I24" s="49">
        <v>90000</v>
      </c>
    </row>
    <row r="25" spans="1:9" ht="16">
      <c r="A25" t="s">
        <v>134</v>
      </c>
      <c r="B25" s="44" t="s">
        <v>16</v>
      </c>
      <c r="C25" t="s">
        <v>46</v>
      </c>
      <c r="D25" t="s">
        <v>159</v>
      </c>
      <c r="E25" t="s">
        <v>160</v>
      </c>
      <c r="F25" s="48">
        <v>120000</v>
      </c>
      <c r="G25" s="49">
        <v>120000</v>
      </c>
      <c r="H25" s="49">
        <v>90000</v>
      </c>
      <c r="I25" s="49">
        <v>60000</v>
      </c>
    </row>
    <row r="26" spans="1:9" ht="16">
      <c r="A26" t="s">
        <v>134</v>
      </c>
      <c r="B26" s="44" t="s">
        <v>16</v>
      </c>
      <c r="C26" t="s">
        <v>46</v>
      </c>
      <c r="D26" t="s">
        <v>159</v>
      </c>
      <c r="E26" t="s">
        <v>76</v>
      </c>
      <c r="F26" s="48">
        <v>120000</v>
      </c>
      <c r="G26" s="49">
        <v>120000</v>
      </c>
      <c r="H26" s="49">
        <v>90000</v>
      </c>
      <c r="I26" s="49">
        <v>60000</v>
      </c>
    </row>
    <row r="27" spans="1:9" ht="16">
      <c r="A27" t="s">
        <v>134</v>
      </c>
      <c r="B27" s="44" t="s">
        <v>16</v>
      </c>
      <c r="C27" t="s">
        <v>46</v>
      </c>
      <c r="D27" t="s">
        <v>159</v>
      </c>
      <c r="E27" t="s">
        <v>161</v>
      </c>
      <c r="F27" s="48">
        <v>120000</v>
      </c>
      <c r="G27" s="49">
        <v>120000</v>
      </c>
      <c r="H27" s="49">
        <v>90000</v>
      </c>
      <c r="I27" s="49">
        <v>60000</v>
      </c>
    </row>
    <row r="28" spans="1:9" ht="16">
      <c r="A28" t="s">
        <v>134</v>
      </c>
      <c r="B28" s="44" t="s">
        <v>16</v>
      </c>
      <c r="C28" t="s">
        <v>46</v>
      </c>
      <c r="D28" t="s">
        <v>159</v>
      </c>
      <c r="E28" t="s">
        <v>162</v>
      </c>
      <c r="F28" s="48">
        <v>120000</v>
      </c>
      <c r="G28" s="49">
        <v>120000</v>
      </c>
      <c r="H28" s="49">
        <v>90000</v>
      </c>
      <c r="I28" s="49">
        <v>60000</v>
      </c>
    </row>
    <row r="29" spans="1:9" ht="16">
      <c r="A29" t="s">
        <v>134</v>
      </c>
      <c r="B29" s="44" t="s">
        <v>16</v>
      </c>
      <c r="C29" t="s">
        <v>46</v>
      </c>
      <c r="D29" t="s">
        <v>159</v>
      </c>
      <c r="E29" t="s">
        <v>163</v>
      </c>
      <c r="F29" s="48">
        <v>120000</v>
      </c>
      <c r="G29" s="49">
        <v>120000</v>
      </c>
      <c r="H29" s="49">
        <v>90000</v>
      </c>
      <c r="I29" s="49">
        <v>60000</v>
      </c>
    </row>
    <row r="30" spans="1:9" ht="16">
      <c r="A30" t="s">
        <v>134</v>
      </c>
      <c r="B30" s="44" t="s">
        <v>16</v>
      </c>
      <c r="C30" t="s">
        <v>46</v>
      </c>
      <c r="D30" t="s">
        <v>159</v>
      </c>
      <c r="E30" t="s">
        <v>164</v>
      </c>
      <c r="F30" s="48">
        <v>120000</v>
      </c>
      <c r="G30" s="49">
        <v>120000</v>
      </c>
      <c r="H30" s="49">
        <v>90000</v>
      </c>
      <c r="I30" s="49">
        <v>60000</v>
      </c>
    </row>
    <row r="31" spans="1:9" ht="16">
      <c r="A31" t="s">
        <v>134</v>
      </c>
      <c r="B31" s="44" t="s">
        <v>16</v>
      </c>
      <c r="C31" t="s">
        <v>46</v>
      </c>
      <c r="D31" t="s">
        <v>159</v>
      </c>
      <c r="E31" t="s">
        <v>165</v>
      </c>
      <c r="F31" s="48">
        <v>120000</v>
      </c>
      <c r="G31" s="49">
        <v>120000</v>
      </c>
      <c r="H31" s="49">
        <v>90000</v>
      </c>
      <c r="I31" s="49">
        <v>60000</v>
      </c>
    </row>
    <row r="32" spans="1:9" ht="16">
      <c r="A32" t="s">
        <v>134</v>
      </c>
      <c r="B32" s="44" t="s">
        <v>16</v>
      </c>
      <c r="C32" t="s">
        <v>46</v>
      </c>
      <c r="D32" t="s">
        <v>159</v>
      </c>
      <c r="E32" t="s">
        <v>166</v>
      </c>
      <c r="F32" s="48">
        <v>150000</v>
      </c>
      <c r="G32" s="49">
        <v>150000</v>
      </c>
      <c r="H32" s="49">
        <v>112500</v>
      </c>
      <c r="I32" s="49">
        <v>75000</v>
      </c>
    </row>
    <row r="33" spans="1:9" ht="16">
      <c r="A33" t="s">
        <v>134</v>
      </c>
      <c r="B33" s="44" t="s">
        <v>16</v>
      </c>
      <c r="C33" t="s">
        <v>46</v>
      </c>
      <c r="D33" t="s">
        <v>159</v>
      </c>
      <c r="E33" t="s">
        <v>167</v>
      </c>
      <c r="F33" s="48">
        <v>120000</v>
      </c>
      <c r="G33" s="49">
        <v>120000</v>
      </c>
      <c r="H33" s="49">
        <v>90000</v>
      </c>
      <c r="I33" s="49">
        <v>60000</v>
      </c>
    </row>
    <row r="34" spans="1:9" ht="16">
      <c r="A34" t="s">
        <v>134</v>
      </c>
      <c r="B34" s="44" t="s">
        <v>16</v>
      </c>
      <c r="C34" t="s">
        <v>46</v>
      </c>
      <c r="D34" t="s">
        <v>159</v>
      </c>
      <c r="E34" t="s">
        <v>78</v>
      </c>
      <c r="F34" s="48">
        <v>150000</v>
      </c>
      <c r="G34" s="49">
        <v>150000</v>
      </c>
      <c r="H34" s="49">
        <v>112500</v>
      </c>
      <c r="I34" s="49">
        <v>75000</v>
      </c>
    </row>
    <row r="35" spans="1:9" ht="16">
      <c r="A35" t="s">
        <v>134</v>
      </c>
      <c r="B35" s="44" t="s">
        <v>16</v>
      </c>
      <c r="C35" t="s">
        <v>46</v>
      </c>
      <c r="D35" t="s">
        <v>168</v>
      </c>
      <c r="E35" t="s">
        <v>86</v>
      </c>
      <c r="F35" s="48">
        <v>150000</v>
      </c>
      <c r="G35" s="49">
        <v>150000</v>
      </c>
      <c r="H35" s="49">
        <v>112500</v>
      </c>
      <c r="I35" s="49">
        <v>75000</v>
      </c>
    </row>
    <row r="36" spans="1:9" ht="16">
      <c r="A36" t="s">
        <v>134</v>
      </c>
      <c r="B36" s="44" t="s">
        <v>16</v>
      </c>
      <c r="C36" t="s">
        <v>46</v>
      </c>
      <c r="D36" t="s">
        <v>168</v>
      </c>
      <c r="E36" t="s">
        <v>169</v>
      </c>
      <c r="F36" s="48">
        <v>150000</v>
      </c>
      <c r="G36" s="49">
        <v>150000</v>
      </c>
      <c r="H36" s="49">
        <v>112500</v>
      </c>
      <c r="I36" s="49">
        <v>75000</v>
      </c>
    </row>
    <row r="37" spans="1:9" ht="16">
      <c r="A37" t="s">
        <v>134</v>
      </c>
      <c r="B37" s="44" t="s">
        <v>16</v>
      </c>
      <c r="C37" t="s">
        <v>46</v>
      </c>
      <c r="D37" t="s">
        <v>168</v>
      </c>
      <c r="E37" t="s">
        <v>80</v>
      </c>
      <c r="F37" s="48">
        <v>180000</v>
      </c>
      <c r="G37" s="49">
        <v>180000</v>
      </c>
      <c r="H37" s="49">
        <v>135000</v>
      </c>
      <c r="I37" s="49">
        <v>90000</v>
      </c>
    </row>
    <row r="38" spans="1:9" ht="16">
      <c r="A38" t="s">
        <v>134</v>
      </c>
      <c r="B38" s="44" t="s">
        <v>16</v>
      </c>
      <c r="C38" t="s">
        <v>46</v>
      </c>
      <c r="D38" t="s">
        <v>168</v>
      </c>
      <c r="E38" t="s">
        <v>170</v>
      </c>
      <c r="F38" s="48">
        <v>150000</v>
      </c>
      <c r="G38" s="49">
        <v>150000</v>
      </c>
      <c r="H38" s="49">
        <v>112500</v>
      </c>
      <c r="I38" s="49">
        <v>75000</v>
      </c>
    </row>
    <row r="39" spans="1:9" ht="16">
      <c r="A39" t="s">
        <v>134</v>
      </c>
      <c r="B39" s="44" t="s">
        <v>16</v>
      </c>
      <c r="C39" t="s">
        <v>46</v>
      </c>
      <c r="D39" t="s">
        <v>168</v>
      </c>
      <c r="E39" t="s">
        <v>171</v>
      </c>
      <c r="F39" s="48">
        <v>120000</v>
      </c>
      <c r="G39" s="49">
        <v>120000</v>
      </c>
      <c r="H39" s="49">
        <v>90000</v>
      </c>
      <c r="I39" s="49">
        <v>60000</v>
      </c>
    </row>
    <row r="40" spans="1:9" ht="16">
      <c r="A40" t="s">
        <v>134</v>
      </c>
      <c r="B40" s="44" t="s">
        <v>16</v>
      </c>
      <c r="C40" t="s">
        <v>46</v>
      </c>
      <c r="D40" t="s">
        <v>168</v>
      </c>
      <c r="E40" t="s">
        <v>172</v>
      </c>
      <c r="F40" s="48">
        <v>120000</v>
      </c>
      <c r="G40" s="49">
        <v>120000</v>
      </c>
      <c r="H40" s="49">
        <v>90000</v>
      </c>
      <c r="I40" s="49">
        <v>60000</v>
      </c>
    </row>
    <row r="41" spans="1:9" ht="16">
      <c r="A41" t="s">
        <v>134</v>
      </c>
      <c r="B41" s="44" t="s">
        <v>16</v>
      </c>
      <c r="C41" t="s">
        <v>46</v>
      </c>
      <c r="D41" t="s">
        <v>168</v>
      </c>
      <c r="E41" t="s">
        <v>82</v>
      </c>
      <c r="F41" s="48">
        <v>180000</v>
      </c>
      <c r="G41" s="49">
        <v>180000</v>
      </c>
      <c r="H41" s="49">
        <v>135000</v>
      </c>
      <c r="I41" s="49">
        <v>90000</v>
      </c>
    </row>
    <row r="42" spans="1:9" ht="16">
      <c r="A42" t="s">
        <v>134</v>
      </c>
      <c r="B42" s="44" t="s">
        <v>16</v>
      </c>
      <c r="C42" t="s">
        <v>46</v>
      </c>
      <c r="D42" t="s">
        <v>168</v>
      </c>
      <c r="E42" t="s">
        <v>84</v>
      </c>
      <c r="F42" s="48">
        <v>150000</v>
      </c>
      <c r="G42" s="49">
        <v>150000</v>
      </c>
      <c r="H42" s="49">
        <v>112500</v>
      </c>
      <c r="I42" s="49">
        <v>75000</v>
      </c>
    </row>
    <row r="43" spans="1:9" ht="16">
      <c r="A43" t="s">
        <v>134</v>
      </c>
      <c r="B43" s="44" t="s">
        <v>16</v>
      </c>
      <c r="C43" t="s">
        <v>46</v>
      </c>
      <c r="D43" t="s">
        <v>168</v>
      </c>
      <c r="E43" t="s">
        <v>173</v>
      </c>
      <c r="F43" s="48">
        <v>120000</v>
      </c>
      <c r="G43" s="49">
        <v>120000</v>
      </c>
      <c r="H43" s="49">
        <v>90000</v>
      </c>
      <c r="I43" s="49">
        <v>60000</v>
      </c>
    </row>
    <row r="44" spans="1:9" ht="16">
      <c r="A44" t="s">
        <v>134</v>
      </c>
      <c r="B44" s="44" t="s">
        <v>16</v>
      </c>
      <c r="C44" t="s">
        <v>46</v>
      </c>
      <c r="D44" t="s">
        <v>168</v>
      </c>
      <c r="E44" t="s">
        <v>174</v>
      </c>
      <c r="F44" s="48">
        <v>120000</v>
      </c>
      <c r="G44" s="49">
        <v>120000</v>
      </c>
      <c r="H44" s="49">
        <v>90000</v>
      </c>
      <c r="I44" s="49">
        <v>60000</v>
      </c>
    </row>
    <row r="45" spans="1:9" ht="16">
      <c r="A45" t="s">
        <v>134</v>
      </c>
      <c r="B45" s="44" t="s">
        <v>175</v>
      </c>
      <c r="C45" t="s">
        <v>51</v>
      </c>
      <c r="D45" t="s">
        <v>176</v>
      </c>
      <c r="E45" t="s">
        <v>177</v>
      </c>
      <c r="F45" s="48">
        <v>120000</v>
      </c>
      <c r="G45" s="49">
        <v>120000</v>
      </c>
      <c r="H45" s="49">
        <v>90000</v>
      </c>
      <c r="I45" s="49">
        <v>60000</v>
      </c>
    </row>
    <row r="46" spans="1:9" ht="16">
      <c r="A46" t="s">
        <v>134</v>
      </c>
      <c r="B46" s="44" t="s">
        <v>175</v>
      </c>
      <c r="C46" t="s">
        <v>51</v>
      </c>
      <c r="D46" t="s">
        <v>176</v>
      </c>
      <c r="E46" t="s">
        <v>178</v>
      </c>
      <c r="F46" s="48">
        <v>180000</v>
      </c>
      <c r="G46" s="49">
        <v>180000</v>
      </c>
      <c r="H46" s="49">
        <v>135000</v>
      </c>
      <c r="I46" s="49">
        <v>90000</v>
      </c>
    </row>
    <row r="47" spans="1:9" ht="16">
      <c r="A47" t="s">
        <v>134</v>
      </c>
      <c r="B47" s="44" t="s">
        <v>175</v>
      </c>
      <c r="C47" t="s">
        <v>51</v>
      </c>
      <c r="D47" t="s">
        <v>176</v>
      </c>
      <c r="E47" t="s">
        <v>179</v>
      </c>
      <c r="F47" s="48">
        <v>150000</v>
      </c>
      <c r="G47" s="49">
        <v>150000</v>
      </c>
      <c r="H47" s="49">
        <v>112500</v>
      </c>
      <c r="I47" s="49">
        <v>75000</v>
      </c>
    </row>
    <row r="48" spans="1:9" ht="16">
      <c r="A48" t="s">
        <v>134</v>
      </c>
      <c r="B48" s="44" t="s">
        <v>175</v>
      </c>
      <c r="C48" t="s">
        <v>51</v>
      </c>
      <c r="D48" t="s">
        <v>176</v>
      </c>
      <c r="E48" t="s">
        <v>180</v>
      </c>
      <c r="F48" s="48">
        <v>180000</v>
      </c>
      <c r="G48" s="49">
        <v>180000</v>
      </c>
      <c r="H48" s="49">
        <v>135000</v>
      </c>
      <c r="I48" s="49">
        <v>90000</v>
      </c>
    </row>
    <row r="49" spans="1:9" ht="16">
      <c r="A49" t="s">
        <v>134</v>
      </c>
      <c r="B49" s="44" t="s">
        <v>175</v>
      </c>
      <c r="C49" t="s">
        <v>51</v>
      </c>
      <c r="D49" t="s">
        <v>176</v>
      </c>
      <c r="E49" t="s">
        <v>181</v>
      </c>
      <c r="F49" s="48">
        <v>180000</v>
      </c>
      <c r="G49" s="49">
        <v>180000</v>
      </c>
      <c r="H49" s="49">
        <v>135000</v>
      </c>
      <c r="I49" s="49">
        <v>90000</v>
      </c>
    </row>
    <row r="50" spans="1:9" ht="16">
      <c r="A50" t="s">
        <v>134</v>
      </c>
      <c r="B50" s="44" t="s">
        <v>175</v>
      </c>
      <c r="C50" t="s">
        <v>51</v>
      </c>
      <c r="D50" t="s">
        <v>176</v>
      </c>
      <c r="E50" t="s">
        <v>182</v>
      </c>
      <c r="F50" s="48">
        <v>150000</v>
      </c>
      <c r="G50" s="49">
        <v>150000</v>
      </c>
      <c r="H50" s="49">
        <v>112500</v>
      </c>
      <c r="I50" s="49">
        <v>75000</v>
      </c>
    </row>
    <row r="51" spans="1:9" ht="16">
      <c r="A51" t="s">
        <v>134</v>
      </c>
      <c r="B51" s="44" t="s">
        <v>175</v>
      </c>
      <c r="C51" t="s">
        <v>51</v>
      </c>
      <c r="D51" t="s">
        <v>176</v>
      </c>
      <c r="E51" t="s">
        <v>183</v>
      </c>
      <c r="F51" s="48">
        <v>120000</v>
      </c>
      <c r="G51" s="49">
        <v>120000</v>
      </c>
      <c r="H51" s="49">
        <v>90000</v>
      </c>
      <c r="I51" s="49">
        <v>60000</v>
      </c>
    </row>
    <row r="52" spans="1:9" ht="16">
      <c r="A52" t="s">
        <v>134</v>
      </c>
      <c r="B52" s="44" t="s">
        <v>175</v>
      </c>
      <c r="C52" t="s">
        <v>51</v>
      </c>
      <c r="D52" t="s">
        <v>176</v>
      </c>
      <c r="E52" t="s">
        <v>184</v>
      </c>
      <c r="F52" s="48">
        <v>120000</v>
      </c>
      <c r="G52" s="49">
        <v>120000</v>
      </c>
      <c r="H52" s="49">
        <v>90000</v>
      </c>
      <c r="I52" s="49">
        <v>60000</v>
      </c>
    </row>
    <row r="53" spans="1:9" ht="16">
      <c r="A53" t="s">
        <v>134</v>
      </c>
      <c r="B53" s="44" t="s">
        <v>17</v>
      </c>
      <c r="C53" t="s">
        <v>54</v>
      </c>
      <c r="D53" t="s">
        <v>185</v>
      </c>
      <c r="E53" t="s">
        <v>186</v>
      </c>
      <c r="F53" s="48">
        <v>150000</v>
      </c>
      <c r="G53" s="49">
        <v>150000</v>
      </c>
      <c r="H53" s="49">
        <v>112500</v>
      </c>
      <c r="I53" s="49">
        <v>75000</v>
      </c>
    </row>
    <row r="54" spans="1:9" ht="16">
      <c r="A54" t="s">
        <v>134</v>
      </c>
      <c r="B54" s="44" t="s">
        <v>17</v>
      </c>
      <c r="C54" t="s">
        <v>54</v>
      </c>
      <c r="D54" t="s">
        <v>185</v>
      </c>
      <c r="E54" t="s">
        <v>187</v>
      </c>
      <c r="F54" s="48">
        <v>150000</v>
      </c>
      <c r="G54" s="49">
        <v>150000</v>
      </c>
      <c r="H54" s="49">
        <v>112500</v>
      </c>
      <c r="I54" s="49">
        <v>75000</v>
      </c>
    </row>
    <row r="55" spans="1:9" ht="16">
      <c r="A55" t="s">
        <v>134</v>
      </c>
      <c r="B55" s="44" t="s">
        <v>17</v>
      </c>
      <c r="C55" t="s">
        <v>54</v>
      </c>
      <c r="D55" t="s">
        <v>185</v>
      </c>
      <c r="E55" t="s">
        <v>188</v>
      </c>
      <c r="F55" s="48">
        <v>150000</v>
      </c>
      <c r="G55" s="49">
        <v>150000</v>
      </c>
      <c r="H55" s="49">
        <v>112500</v>
      </c>
      <c r="I55" s="49">
        <v>75000</v>
      </c>
    </row>
    <row r="56" spans="1:9" ht="16">
      <c r="A56" t="s">
        <v>134</v>
      </c>
      <c r="B56" s="44" t="s">
        <v>17</v>
      </c>
      <c r="C56" t="s">
        <v>54</v>
      </c>
      <c r="D56" t="s">
        <v>185</v>
      </c>
      <c r="E56" t="s">
        <v>122</v>
      </c>
      <c r="F56" s="48">
        <v>150000</v>
      </c>
      <c r="G56" s="49">
        <v>150000</v>
      </c>
      <c r="H56" s="49">
        <v>112500</v>
      </c>
      <c r="I56" s="49">
        <v>75000</v>
      </c>
    </row>
    <row r="57" spans="1:9" ht="16">
      <c r="A57" t="s">
        <v>134</v>
      </c>
      <c r="B57" s="44" t="s">
        <v>17</v>
      </c>
      <c r="C57" t="s">
        <v>54</v>
      </c>
      <c r="D57" t="s">
        <v>185</v>
      </c>
      <c r="E57" t="s">
        <v>189</v>
      </c>
      <c r="F57" s="48">
        <v>150000</v>
      </c>
      <c r="G57" s="49">
        <v>150000</v>
      </c>
      <c r="H57" s="49">
        <v>112500</v>
      </c>
      <c r="I57" s="49">
        <v>75000</v>
      </c>
    </row>
    <row r="58" spans="1:9" ht="16">
      <c r="A58" t="s">
        <v>134</v>
      </c>
      <c r="B58" s="44" t="s">
        <v>17</v>
      </c>
      <c r="C58" t="s">
        <v>54</v>
      </c>
      <c r="D58" t="s">
        <v>185</v>
      </c>
      <c r="E58" t="s">
        <v>120</v>
      </c>
      <c r="F58" s="48">
        <v>180000</v>
      </c>
      <c r="G58" s="49">
        <v>180000</v>
      </c>
      <c r="H58" s="49">
        <v>135000</v>
      </c>
      <c r="I58" s="49">
        <v>90000</v>
      </c>
    </row>
    <row r="59" spans="1:9" ht="16">
      <c r="A59" t="s">
        <v>134</v>
      </c>
      <c r="B59" s="44" t="s">
        <v>17</v>
      </c>
      <c r="C59" t="s">
        <v>54</v>
      </c>
      <c r="D59" t="s">
        <v>190</v>
      </c>
      <c r="E59" t="s">
        <v>191</v>
      </c>
      <c r="F59" s="48">
        <v>180000</v>
      </c>
      <c r="G59" s="49">
        <v>180000</v>
      </c>
      <c r="H59" s="49">
        <v>135000</v>
      </c>
      <c r="I59" s="49">
        <v>90000</v>
      </c>
    </row>
    <row r="60" spans="1:9" ht="16">
      <c r="A60" t="s">
        <v>134</v>
      </c>
      <c r="B60" s="44" t="s">
        <v>17</v>
      </c>
      <c r="C60" t="s">
        <v>54</v>
      </c>
      <c r="D60" t="s">
        <v>190</v>
      </c>
      <c r="E60" t="s">
        <v>192</v>
      </c>
      <c r="F60" s="48">
        <v>150000</v>
      </c>
      <c r="G60" s="49">
        <v>150000</v>
      </c>
      <c r="H60" s="49">
        <v>112500</v>
      </c>
      <c r="I60" s="49">
        <v>75000</v>
      </c>
    </row>
    <row r="61" spans="1:9" ht="16">
      <c r="A61" t="s">
        <v>134</v>
      </c>
      <c r="B61" s="44" t="s">
        <v>17</v>
      </c>
      <c r="C61" t="s">
        <v>54</v>
      </c>
      <c r="D61" t="s">
        <v>190</v>
      </c>
      <c r="E61" t="s">
        <v>193</v>
      </c>
      <c r="F61" s="48">
        <v>150000</v>
      </c>
      <c r="G61" s="49">
        <v>150000</v>
      </c>
      <c r="H61" s="49">
        <v>112500</v>
      </c>
      <c r="I61" s="49">
        <v>75000</v>
      </c>
    </row>
    <row r="62" spans="1:9" ht="16">
      <c r="A62" t="s">
        <v>134</v>
      </c>
      <c r="B62" s="44" t="s">
        <v>17</v>
      </c>
      <c r="C62" t="s">
        <v>54</v>
      </c>
      <c r="D62" t="s">
        <v>190</v>
      </c>
      <c r="E62" t="s">
        <v>194</v>
      </c>
      <c r="F62" s="48">
        <v>180000</v>
      </c>
      <c r="G62" s="49">
        <v>180000</v>
      </c>
      <c r="H62" s="49">
        <v>135000</v>
      </c>
      <c r="I62" s="49">
        <v>90000</v>
      </c>
    </row>
    <row r="63" spans="1:9" ht="16">
      <c r="A63" t="s">
        <v>134</v>
      </c>
      <c r="B63" s="44" t="s">
        <v>17</v>
      </c>
      <c r="C63" t="s">
        <v>54</v>
      </c>
      <c r="D63" t="s">
        <v>190</v>
      </c>
      <c r="E63" t="s">
        <v>195</v>
      </c>
      <c r="F63" s="48">
        <v>180000</v>
      </c>
      <c r="G63" s="49">
        <v>180000</v>
      </c>
      <c r="H63" s="49">
        <v>135000</v>
      </c>
      <c r="I63" s="49">
        <v>90000</v>
      </c>
    </row>
    <row r="64" spans="1:9" ht="16">
      <c r="A64" t="s">
        <v>134</v>
      </c>
      <c r="B64" s="44" t="s">
        <v>17</v>
      </c>
      <c r="C64" t="s">
        <v>54</v>
      </c>
      <c r="D64" t="s">
        <v>190</v>
      </c>
      <c r="E64" t="s">
        <v>196</v>
      </c>
      <c r="F64" s="48">
        <v>150000</v>
      </c>
      <c r="G64" s="49">
        <v>150000</v>
      </c>
      <c r="H64" s="49">
        <v>112500</v>
      </c>
      <c r="I64" s="49">
        <v>75000</v>
      </c>
    </row>
    <row r="65" spans="1:9" ht="16">
      <c r="A65" t="s">
        <v>134</v>
      </c>
      <c r="B65" s="44" t="s">
        <v>17</v>
      </c>
      <c r="C65" t="s">
        <v>58</v>
      </c>
      <c r="D65" t="s">
        <v>197</v>
      </c>
      <c r="E65" t="s">
        <v>198</v>
      </c>
      <c r="F65" s="48">
        <v>120000</v>
      </c>
      <c r="G65" s="49">
        <v>120000</v>
      </c>
      <c r="H65" s="49">
        <v>90000</v>
      </c>
      <c r="I65" s="49">
        <v>60000</v>
      </c>
    </row>
    <row r="66" spans="1:9" ht="16">
      <c r="A66" t="s">
        <v>134</v>
      </c>
      <c r="B66" s="44" t="s">
        <v>17</v>
      </c>
      <c r="C66" t="s">
        <v>58</v>
      </c>
      <c r="D66" t="s">
        <v>197</v>
      </c>
      <c r="E66" t="s">
        <v>199</v>
      </c>
      <c r="F66" s="48">
        <v>150000</v>
      </c>
      <c r="G66" s="49">
        <v>150000</v>
      </c>
      <c r="H66" s="49">
        <v>112500</v>
      </c>
      <c r="I66" s="49">
        <v>75000</v>
      </c>
    </row>
    <row r="67" spans="1:9" ht="16">
      <c r="A67" t="s">
        <v>134</v>
      </c>
      <c r="B67" s="44" t="s">
        <v>17</v>
      </c>
      <c r="C67" t="s">
        <v>58</v>
      </c>
      <c r="D67" t="s">
        <v>197</v>
      </c>
      <c r="E67" t="s">
        <v>200</v>
      </c>
      <c r="F67" s="48">
        <v>120000</v>
      </c>
      <c r="G67" s="49">
        <v>120000</v>
      </c>
      <c r="H67" s="49">
        <v>90000</v>
      </c>
      <c r="I67" s="49">
        <v>60000</v>
      </c>
    </row>
    <row r="68" spans="1:9" ht="16">
      <c r="A68" t="s">
        <v>134</v>
      </c>
      <c r="B68" s="44" t="s">
        <v>17</v>
      </c>
      <c r="C68" t="s">
        <v>58</v>
      </c>
      <c r="D68" t="s">
        <v>197</v>
      </c>
      <c r="E68" t="s">
        <v>201</v>
      </c>
      <c r="F68" s="48">
        <v>150000</v>
      </c>
      <c r="G68" s="49">
        <v>150000</v>
      </c>
      <c r="H68" s="49">
        <v>112500</v>
      </c>
      <c r="I68" s="49">
        <v>75000</v>
      </c>
    </row>
    <row r="69" spans="1:9" ht="16">
      <c r="A69" t="s">
        <v>134</v>
      </c>
      <c r="B69" s="44" t="s">
        <v>17</v>
      </c>
      <c r="C69" t="s">
        <v>58</v>
      </c>
      <c r="D69" t="s">
        <v>197</v>
      </c>
      <c r="E69" t="s">
        <v>202</v>
      </c>
      <c r="F69" s="48">
        <v>150000</v>
      </c>
      <c r="G69" s="49">
        <v>150000</v>
      </c>
      <c r="H69" s="49">
        <v>112500</v>
      </c>
      <c r="I69" s="49">
        <v>75000</v>
      </c>
    </row>
    <row r="70" spans="1:9" ht="16">
      <c r="A70" t="s">
        <v>134</v>
      </c>
      <c r="B70" s="44" t="s">
        <v>17</v>
      </c>
      <c r="C70" t="s">
        <v>58</v>
      </c>
      <c r="D70" t="s">
        <v>197</v>
      </c>
      <c r="E70" t="s">
        <v>203</v>
      </c>
      <c r="F70" s="48">
        <v>180000</v>
      </c>
      <c r="G70" s="49">
        <v>180000</v>
      </c>
      <c r="H70" s="49">
        <v>135000</v>
      </c>
      <c r="I70" s="49">
        <v>90000</v>
      </c>
    </row>
    <row r="71" spans="1:9" ht="16">
      <c r="A71" t="s">
        <v>134</v>
      </c>
      <c r="B71" s="44" t="s">
        <v>17</v>
      </c>
      <c r="C71" t="s">
        <v>56</v>
      </c>
      <c r="D71" t="s">
        <v>204</v>
      </c>
      <c r="E71" t="s">
        <v>205</v>
      </c>
      <c r="F71" s="48">
        <v>150000</v>
      </c>
      <c r="G71" s="49">
        <v>150000</v>
      </c>
      <c r="H71" s="49">
        <v>112500</v>
      </c>
      <c r="I71" s="49">
        <v>75000</v>
      </c>
    </row>
    <row r="72" spans="1:9" ht="16">
      <c r="A72" t="s">
        <v>134</v>
      </c>
      <c r="B72" s="44" t="s">
        <v>17</v>
      </c>
      <c r="C72" t="s">
        <v>56</v>
      </c>
      <c r="D72" t="s">
        <v>204</v>
      </c>
      <c r="E72" t="s">
        <v>206</v>
      </c>
      <c r="F72" s="48">
        <v>120000</v>
      </c>
      <c r="G72" s="49">
        <v>120000</v>
      </c>
      <c r="H72" s="49">
        <v>90000</v>
      </c>
      <c r="I72" s="49">
        <v>60000</v>
      </c>
    </row>
    <row r="73" spans="1:9" ht="16">
      <c r="A73" t="s">
        <v>134</v>
      </c>
      <c r="B73" s="44" t="s">
        <v>17</v>
      </c>
      <c r="C73" t="s">
        <v>56</v>
      </c>
      <c r="D73" t="s">
        <v>204</v>
      </c>
      <c r="E73" t="s">
        <v>207</v>
      </c>
      <c r="F73" s="48">
        <v>150000</v>
      </c>
      <c r="G73" s="49">
        <v>150000</v>
      </c>
      <c r="H73" s="49">
        <v>112500</v>
      </c>
      <c r="I73" s="49">
        <v>75000</v>
      </c>
    </row>
    <row r="74" spans="1:9" ht="16">
      <c r="A74" t="s">
        <v>134</v>
      </c>
      <c r="B74" s="44" t="s">
        <v>17</v>
      </c>
      <c r="C74" t="s">
        <v>56</v>
      </c>
      <c r="D74" t="s">
        <v>204</v>
      </c>
      <c r="E74" t="s">
        <v>208</v>
      </c>
      <c r="F74" s="48">
        <v>150000</v>
      </c>
      <c r="G74" s="49">
        <v>150000</v>
      </c>
      <c r="H74" s="49">
        <v>112500</v>
      </c>
      <c r="I74" s="49">
        <v>75000</v>
      </c>
    </row>
    <row r="75" spans="1:9" ht="16">
      <c r="A75" t="s">
        <v>134</v>
      </c>
      <c r="B75" s="44" t="s">
        <v>17</v>
      </c>
      <c r="C75" t="s">
        <v>56</v>
      </c>
      <c r="D75" t="s">
        <v>204</v>
      </c>
      <c r="E75" t="s">
        <v>209</v>
      </c>
      <c r="F75" s="48">
        <v>150000</v>
      </c>
      <c r="G75" s="49">
        <v>150000</v>
      </c>
      <c r="H75" s="49">
        <v>112500</v>
      </c>
      <c r="I75" s="49">
        <v>75000</v>
      </c>
    </row>
    <row r="76" spans="1:9" ht="16">
      <c r="A76" t="s">
        <v>134</v>
      </c>
      <c r="B76" s="44" t="s">
        <v>17</v>
      </c>
      <c r="C76" t="s">
        <v>56</v>
      </c>
      <c r="D76" t="s">
        <v>204</v>
      </c>
      <c r="E76" t="s">
        <v>210</v>
      </c>
      <c r="F76" s="48">
        <v>120000</v>
      </c>
      <c r="G76" s="49">
        <v>120000</v>
      </c>
      <c r="H76" s="49">
        <v>90000</v>
      </c>
      <c r="I76" s="49">
        <v>60000</v>
      </c>
    </row>
    <row r="77" spans="1:9" ht="16">
      <c r="A77" t="s">
        <v>134</v>
      </c>
      <c r="B77" s="44" t="s">
        <v>17</v>
      </c>
      <c r="C77" t="s">
        <v>56</v>
      </c>
      <c r="D77" t="s">
        <v>204</v>
      </c>
      <c r="E77" t="s">
        <v>211</v>
      </c>
      <c r="F77" s="48">
        <v>180000</v>
      </c>
      <c r="G77" s="49">
        <v>180000</v>
      </c>
      <c r="H77" s="49">
        <v>135000</v>
      </c>
      <c r="I77" s="49">
        <v>90000</v>
      </c>
    </row>
    <row r="78" spans="1:9" ht="16">
      <c r="A78" t="s">
        <v>134</v>
      </c>
      <c r="B78" s="44" t="s">
        <v>17</v>
      </c>
      <c r="C78" t="s">
        <v>56</v>
      </c>
      <c r="D78" t="s">
        <v>204</v>
      </c>
      <c r="E78" t="s">
        <v>212</v>
      </c>
      <c r="F78" s="48">
        <v>120000</v>
      </c>
      <c r="G78" s="49">
        <v>120000</v>
      </c>
      <c r="H78" s="49">
        <v>90000</v>
      </c>
      <c r="I78" s="49">
        <v>60000</v>
      </c>
    </row>
    <row r="79" spans="1:9" ht="16">
      <c r="A79" t="s">
        <v>134</v>
      </c>
      <c r="B79" s="44" t="s">
        <v>17</v>
      </c>
      <c r="C79" t="s">
        <v>56</v>
      </c>
      <c r="D79" t="s">
        <v>204</v>
      </c>
      <c r="E79" t="s">
        <v>213</v>
      </c>
      <c r="F79" s="48">
        <v>150000</v>
      </c>
      <c r="G79" s="49">
        <v>150000</v>
      </c>
      <c r="H79" s="49">
        <v>112500</v>
      </c>
      <c r="I79" s="49">
        <v>75000</v>
      </c>
    </row>
    <row r="80" spans="1:9" ht="16">
      <c r="A80" t="s">
        <v>134</v>
      </c>
      <c r="B80" s="44" t="s">
        <v>17</v>
      </c>
      <c r="C80" t="s">
        <v>56</v>
      </c>
      <c r="D80" t="s">
        <v>204</v>
      </c>
      <c r="E80" t="s">
        <v>214</v>
      </c>
      <c r="F80" s="48">
        <v>120000</v>
      </c>
      <c r="G80" s="49">
        <v>120000</v>
      </c>
      <c r="H80" s="49">
        <v>90000</v>
      </c>
      <c r="I80" s="49">
        <v>60000</v>
      </c>
    </row>
    <row r="81" spans="1:9" ht="16">
      <c r="A81" t="s">
        <v>134</v>
      </c>
      <c r="B81" s="44" t="s">
        <v>17</v>
      </c>
      <c r="C81" t="s">
        <v>56</v>
      </c>
      <c r="D81" t="s">
        <v>204</v>
      </c>
      <c r="E81" t="s">
        <v>215</v>
      </c>
      <c r="F81" s="48">
        <v>120000</v>
      </c>
      <c r="G81" s="49">
        <v>120000</v>
      </c>
      <c r="H81" s="49">
        <v>90000</v>
      </c>
      <c r="I81" s="49">
        <v>60000</v>
      </c>
    </row>
    <row r="82" spans="1:9" ht="16">
      <c r="A82" t="s">
        <v>134</v>
      </c>
      <c r="B82" s="44" t="s">
        <v>17</v>
      </c>
      <c r="C82" t="s">
        <v>56</v>
      </c>
      <c r="D82" t="s">
        <v>204</v>
      </c>
      <c r="E82" t="s">
        <v>216</v>
      </c>
      <c r="F82" s="48">
        <v>150000</v>
      </c>
      <c r="G82" s="49">
        <v>150000</v>
      </c>
      <c r="H82" s="49">
        <v>112500</v>
      </c>
      <c r="I82" s="49">
        <v>75000</v>
      </c>
    </row>
    <row r="83" spans="1:9" ht="16">
      <c r="A83" t="s">
        <v>134</v>
      </c>
      <c r="B83" s="44" t="s">
        <v>17</v>
      </c>
      <c r="C83" t="s">
        <v>52</v>
      </c>
      <c r="D83" t="s">
        <v>217</v>
      </c>
      <c r="E83" t="s">
        <v>218</v>
      </c>
      <c r="F83" s="48">
        <v>120000</v>
      </c>
      <c r="G83" s="49">
        <v>120000</v>
      </c>
      <c r="H83" s="49">
        <v>90000</v>
      </c>
      <c r="I83" s="49">
        <v>60000</v>
      </c>
    </row>
    <row r="84" spans="1:9" ht="16">
      <c r="A84" t="s">
        <v>134</v>
      </c>
      <c r="B84" s="44" t="s">
        <v>17</v>
      </c>
      <c r="C84" t="s">
        <v>52</v>
      </c>
      <c r="D84" t="s">
        <v>217</v>
      </c>
      <c r="E84" t="s">
        <v>219</v>
      </c>
      <c r="F84" s="48">
        <v>120000</v>
      </c>
      <c r="G84" s="49">
        <v>120000</v>
      </c>
      <c r="H84" s="49">
        <v>90000</v>
      </c>
      <c r="I84" s="49">
        <v>60000</v>
      </c>
    </row>
    <row r="85" spans="1:9" ht="16">
      <c r="A85" t="s">
        <v>134</v>
      </c>
      <c r="B85" s="44" t="s">
        <v>17</v>
      </c>
      <c r="C85" t="s">
        <v>52</v>
      </c>
      <c r="D85" t="s">
        <v>217</v>
      </c>
      <c r="E85" t="s">
        <v>220</v>
      </c>
      <c r="F85" s="48">
        <v>180000</v>
      </c>
      <c r="G85" s="49">
        <v>180000</v>
      </c>
      <c r="H85" s="49">
        <v>135000</v>
      </c>
      <c r="I85" s="49">
        <v>90000</v>
      </c>
    </row>
    <row r="86" spans="1:9" ht="16">
      <c r="A86" t="s">
        <v>134</v>
      </c>
      <c r="B86" s="44" t="s">
        <v>17</v>
      </c>
      <c r="C86" t="s">
        <v>52</v>
      </c>
      <c r="D86" t="s">
        <v>217</v>
      </c>
      <c r="E86" t="s">
        <v>221</v>
      </c>
      <c r="F86" s="48">
        <v>150000</v>
      </c>
      <c r="G86" s="49">
        <v>150000</v>
      </c>
      <c r="H86" s="49">
        <v>112500</v>
      </c>
      <c r="I86" s="49">
        <v>75000</v>
      </c>
    </row>
    <row r="87" spans="1:9" ht="16">
      <c r="A87" t="s">
        <v>134</v>
      </c>
      <c r="B87" s="44" t="s">
        <v>17</v>
      </c>
      <c r="C87" t="s">
        <v>52</v>
      </c>
      <c r="D87" t="s">
        <v>217</v>
      </c>
      <c r="E87" t="s">
        <v>222</v>
      </c>
      <c r="F87" s="48">
        <v>150000</v>
      </c>
      <c r="G87" s="49">
        <v>150000</v>
      </c>
      <c r="H87" s="49">
        <v>112500</v>
      </c>
      <c r="I87" s="49">
        <v>75000</v>
      </c>
    </row>
    <row r="88" spans="1:9" ht="16">
      <c r="A88" t="s">
        <v>134</v>
      </c>
      <c r="B88" s="44" t="s">
        <v>17</v>
      </c>
      <c r="C88" t="s">
        <v>52</v>
      </c>
      <c r="D88" t="s">
        <v>217</v>
      </c>
      <c r="E88" t="s">
        <v>223</v>
      </c>
      <c r="F88" s="48">
        <v>150000</v>
      </c>
      <c r="G88" s="49">
        <v>150000</v>
      </c>
      <c r="H88" s="49">
        <v>112500</v>
      </c>
      <c r="I88" s="49">
        <v>75000</v>
      </c>
    </row>
    <row r="89" spans="1:9" ht="16">
      <c r="A89" t="s">
        <v>134</v>
      </c>
      <c r="B89" s="44" t="s">
        <v>17</v>
      </c>
      <c r="C89" t="s">
        <v>52</v>
      </c>
      <c r="D89" t="s">
        <v>217</v>
      </c>
      <c r="E89" t="s">
        <v>224</v>
      </c>
      <c r="F89" s="48">
        <v>120000</v>
      </c>
      <c r="G89" s="49">
        <v>120000</v>
      </c>
      <c r="H89" s="49">
        <v>90000</v>
      </c>
      <c r="I89" s="49">
        <v>60000</v>
      </c>
    </row>
    <row r="90" spans="1:9" ht="16">
      <c r="A90" t="s">
        <v>134</v>
      </c>
      <c r="B90" s="44" t="s">
        <v>17</v>
      </c>
      <c r="C90" t="s">
        <v>52</v>
      </c>
      <c r="D90" t="s">
        <v>217</v>
      </c>
      <c r="E90" t="s">
        <v>116</v>
      </c>
      <c r="F90" s="48">
        <v>180000</v>
      </c>
      <c r="G90" s="49">
        <v>180000</v>
      </c>
      <c r="H90" s="49">
        <v>135000</v>
      </c>
      <c r="I90" s="49">
        <v>90000</v>
      </c>
    </row>
    <row r="91" spans="1:9" ht="16">
      <c r="A91" t="s">
        <v>134</v>
      </c>
      <c r="B91" s="44" t="s">
        <v>17</v>
      </c>
      <c r="C91" t="s">
        <v>52</v>
      </c>
      <c r="D91" t="s">
        <v>217</v>
      </c>
      <c r="E91" t="s">
        <v>118</v>
      </c>
      <c r="F91" s="48">
        <v>150000</v>
      </c>
      <c r="G91" s="49">
        <v>150000</v>
      </c>
      <c r="H91" s="49">
        <v>112500</v>
      </c>
      <c r="I91" s="49">
        <v>75000</v>
      </c>
    </row>
    <row r="92" spans="1:9" ht="16">
      <c r="A92" t="s">
        <v>134</v>
      </c>
      <c r="B92" s="44" t="s">
        <v>175</v>
      </c>
      <c r="C92" t="s">
        <v>37</v>
      </c>
      <c r="D92" t="s">
        <v>225</v>
      </c>
      <c r="E92" t="s">
        <v>226</v>
      </c>
      <c r="F92" s="48">
        <v>180000</v>
      </c>
      <c r="G92" s="49">
        <v>180000</v>
      </c>
      <c r="H92" s="49">
        <v>135000</v>
      </c>
      <c r="I92" s="49">
        <v>90000</v>
      </c>
    </row>
    <row r="93" spans="1:9" ht="16">
      <c r="A93" t="s">
        <v>134</v>
      </c>
      <c r="B93" s="44" t="s">
        <v>175</v>
      </c>
      <c r="C93" t="s">
        <v>37</v>
      </c>
      <c r="D93" t="s">
        <v>225</v>
      </c>
      <c r="E93" t="s">
        <v>227</v>
      </c>
      <c r="F93" s="48">
        <v>150000</v>
      </c>
      <c r="G93" s="49">
        <v>150000</v>
      </c>
      <c r="H93" s="49">
        <v>112500</v>
      </c>
      <c r="I93" s="49">
        <v>75000</v>
      </c>
    </row>
    <row r="94" spans="1:9" ht="16">
      <c r="A94" t="s">
        <v>134</v>
      </c>
      <c r="B94" s="44" t="s">
        <v>175</v>
      </c>
      <c r="C94" t="s">
        <v>37</v>
      </c>
      <c r="D94" t="s">
        <v>225</v>
      </c>
      <c r="E94" t="s">
        <v>228</v>
      </c>
      <c r="F94" s="48">
        <v>180000</v>
      </c>
      <c r="G94" s="49">
        <v>180000</v>
      </c>
      <c r="H94" s="49">
        <v>135000</v>
      </c>
      <c r="I94" s="49">
        <v>90000</v>
      </c>
    </row>
    <row r="95" spans="1:9" ht="16">
      <c r="A95" t="s">
        <v>134</v>
      </c>
      <c r="B95" s="44" t="s">
        <v>175</v>
      </c>
      <c r="C95" t="s">
        <v>37</v>
      </c>
      <c r="D95" t="s">
        <v>225</v>
      </c>
      <c r="E95" t="s">
        <v>229</v>
      </c>
      <c r="F95" s="48">
        <v>150000</v>
      </c>
      <c r="G95" s="49">
        <v>150000</v>
      </c>
      <c r="H95" s="49">
        <v>112500</v>
      </c>
      <c r="I95" s="49">
        <v>75000</v>
      </c>
    </row>
    <row r="96" spans="1:9" ht="16">
      <c r="A96" t="s">
        <v>134</v>
      </c>
      <c r="B96" s="44" t="s">
        <v>175</v>
      </c>
      <c r="C96" t="s">
        <v>37</v>
      </c>
      <c r="D96" t="s">
        <v>225</v>
      </c>
      <c r="E96" t="s">
        <v>230</v>
      </c>
      <c r="F96" s="48">
        <v>180000</v>
      </c>
      <c r="G96" s="49">
        <v>180000</v>
      </c>
      <c r="H96" s="49">
        <v>135000</v>
      </c>
      <c r="I96" s="49">
        <v>90000</v>
      </c>
    </row>
    <row r="97" spans="1:9" ht="16">
      <c r="A97" t="s">
        <v>134</v>
      </c>
      <c r="B97" s="44" t="s">
        <v>175</v>
      </c>
      <c r="C97" t="s">
        <v>37</v>
      </c>
      <c r="D97" t="s">
        <v>225</v>
      </c>
      <c r="E97" t="s">
        <v>231</v>
      </c>
      <c r="F97" s="48">
        <v>180000</v>
      </c>
      <c r="G97" s="49">
        <v>180000</v>
      </c>
      <c r="H97" s="49">
        <v>135000</v>
      </c>
      <c r="I97" s="49">
        <v>90000</v>
      </c>
    </row>
    <row r="98" spans="1:9" ht="16">
      <c r="A98" t="s">
        <v>134</v>
      </c>
      <c r="B98" s="44" t="s">
        <v>175</v>
      </c>
      <c r="C98" t="s">
        <v>37</v>
      </c>
      <c r="D98" t="s">
        <v>225</v>
      </c>
      <c r="E98" t="s">
        <v>232</v>
      </c>
      <c r="F98" s="48">
        <v>180000</v>
      </c>
      <c r="G98" s="49">
        <v>180000</v>
      </c>
      <c r="H98" s="49">
        <v>135000</v>
      </c>
      <c r="I98" s="49">
        <v>90000</v>
      </c>
    </row>
    <row r="99" spans="1:9" ht="16">
      <c r="A99" t="s">
        <v>134</v>
      </c>
      <c r="B99" s="44" t="s">
        <v>175</v>
      </c>
      <c r="C99" t="s">
        <v>37</v>
      </c>
      <c r="D99" t="s">
        <v>233</v>
      </c>
      <c r="E99" t="s">
        <v>234</v>
      </c>
      <c r="F99" s="48">
        <v>150000</v>
      </c>
      <c r="G99" s="49">
        <v>150000</v>
      </c>
      <c r="H99" s="49">
        <v>112500</v>
      </c>
      <c r="I99" s="49">
        <v>75000</v>
      </c>
    </row>
    <row r="100" spans="1:9" ht="16">
      <c r="A100" t="s">
        <v>134</v>
      </c>
      <c r="B100" s="44" t="s">
        <v>175</v>
      </c>
      <c r="C100" t="s">
        <v>37</v>
      </c>
      <c r="D100" t="s">
        <v>233</v>
      </c>
      <c r="E100" t="s">
        <v>235</v>
      </c>
      <c r="F100" s="48">
        <v>150000</v>
      </c>
      <c r="G100" s="49">
        <v>150000</v>
      </c>
      <c r="H100" s="49">
        <v>112500</v>
      </c>
      <c r="I100" s="49">
        <v>75000</v>
      </c>
    </row>
    <row r="101" spans="1:9" ht="16">
      <c r="A101" t="s">
        <v>134</v>
      </c>
      <c r="B101" s="44" t="s">
        <v>175</v>
      </c>
      <c r="C101" t="s">
        <v>37</v>
      </c>
      <c r="D101" t="s">
        <v>233</v>
      </c>
      <c r="E101" t="s">
        <v>236</v>
      </c>
      <c r="F101" s="48">
        <v>150000</v>
      </c>
      <c r="G101" s="49">
        <v>150000</v>
      </c>
      <c r="H101" s="49">
        <v>112500</v>
      </c>
      <c r="I101" s="49">
        <v>75000</v>
      </c>
    </row>
    <row r="102" spans="1:9" ht="16">
      <c r="A102" t="s">
        <v>134</v>
      </c>
      <c r="B102" s="44" t="s">
        <v>175</v>
      </c>
      <c r="C102" t="s">
        <v>37</v>
      </c>
      <c r="D102" t="s">
        <v>233</v>
      </c>
      <c r="E102" t="s">
        <v>237</v>
      </c>
      <c r="F102" s="48">
        <v>180000</v>
      </c>
      <c r="G102" s="49">
        <v>180000</v>
      </c>
      <c r="H102" s="49">
        <v>135000</v>
      </c>
      <c r="I102" s="49">
        <v>90000</v>
      </c>
    </row>
    <row r="103" spans="1:9" ht="16">
      <c r="A103" t="s">
        <v>134</v>
      </c>
      <c r="B103" s="44" t="s">
        <v>175</v>
      </c>
      <c r="C103" t="s">
        <v>37</v>
      </c>
      <c r="D103" t="s">
        <v>233</v>
      </c>
      <c r="E103" t="s">
        <v>238</v>
      </c>
      <c r="F103" s="48">
        <v>150000</v>
      </c>
      <c r="G103" s="49">
        <v>150000</v>
      </c>
      <c r="H103" s="49">
        <v>112500</v>
      </c>
      <c r="I103" s="49">
        <v>75000</v>
      </c>
    </row>
    <row r="104" spans="1:9" ht="16">
      <c r="A104" t="s">
        <v>134</v>
      </c>
      <c r="B104" s="44" t="s">
        <v>175</v>
      </c>
      <c r="C104" t="s">
        <v>37</v>
      </c>
      <c r="D104" t="s">
        <v>233</v>
      </c>
      <c r="E104" t="s">
        <v>239</v>
      </c>
      <c r="F104" s="48">
        <v>120000</v>
      </c>
      <c r="G104" s="49">
        <v>120000</v>
      </c>
      <c r="H104" s="49">
        <v>90000</v>
      </c>
      <c r="I104" s="49">
        <v>60000</v>
      </c>
    </row>
    <row r="105" spans="1:9" ht="16">
      <c r="A105" t="s">
        <v>134</v>
      </c>
      <c r="B105" s="44" t="s">
        <v>175</v>
      </c>
      <c r="C105" t="s">
        <v>37</v>
      </c>
      <c r="D105" t="s">
        <v>233</v>
      </c>
      <c r="E105" t="s">
        <v>240</v>
      </c>
      <c r="F105" s="48">
        <v>150000</v>
      </c>
      <c r="G105" s="49">
        <v>150000</v>
      </c>
      <c r="H105" s="49">
        <v>112500</v>
      </c>
      <c r="I105" s="49">
        <v>75000</v>
      </c>
    </row>
    <row r="106" spans="1:9" ht="16">
      <c r="A106" t="s">
        <v>134</v>
      </c>
      <c r="B106" s="44" t="s">
        <v>175</v>
      </c>
      <c r="C106" t="s">
        <v>37</v>
      </c>
      <c r="D106" t="s">
        <v>241</v>
      </c>
      <c r="E106" t="s">
        <v>242</v>
      </c>
      <c r="F106" s="48">
        <v>180000</v>
      </c>
      <c r="G106" s="49">
        <v>180000</v>
      </c>
      <c r="H106" s="49">
        <v>135000</v>
      </c>
      <c r="I106" s="49">
        <v>90000</v>
      </c>
    </row>
    <row r="107" spans="1:9" ht="16">
      <c r="A107" t="s">
        <v>134</v>
      </c>
      <c r="B107" s="44" t="s">
        <v>175</v>
      </c>
      <c r="C107" t="s">
        <v>37</v>
      </c>
      <c r="D107" t="s">
        <v>241</v>
      </c>
      <c r="E107" t="s">
        <v>243</v>
      </c>
      <c r="F107" s="48">
        <v>150000</v>
      </c>
      <c r="G107" s="49">
        <v>150000</v>
      </c>
      <c r="H107" s="49">
        <v>112500</v>
      </c>
      <c r="I107" s="49">
        <v>75000</v>
      </c>
    </row>
    <row r="108" spans="1:9" ht="16">
      <c r="A108" t="s">
        <v>134</v>
      </c>
      <c r="B108" s="44" t="s">
        <v>175</v>
      </c>
      <c r="C108" t="s">
        <v>37</v>
      </c>
      <c r="D108" t="s">
        <v>241</v>
      </c>
      <c r="E108" t="s">
        <v>244</v>
      </c>
      <c r="F108" s="48">
        <v>180000</v>
      </c>
      <c r="G108" s="49">
        <v>180000</v>
      </c>
      <c r="H108" s="49">
        <v>135000</v>
      </c>
      <c r="I108" s="49">
        <v>90000</v>
      </c>
    </row>
    <row r="109" spans="1:9" ht="16">
      <c r="A109" t="s">
        <v>134</v>
      </c>
      <c r="B109" s="44" t="s">
        <v>175</v>
      </c>
      <c r="C109" t="s">
        <v>37</v>
      </c>
      <c r="D109" t="s">
        <v>241</v>
      </c>
      <c r="E109" t="s">
        <v>245</v>
      </c>
      <c r="F109" s="48">
        <v>180000</v>
      </c>
      <c r="G109" s="49">
        <v>180000</v>
      </c>
      <c r="H109" s="49">
        <v>135000</v>
      </c>
      <c r="I109" s="49">
        <v>90000</v>
      </c>
    </row>
    <row r="110" spans="1:9" ht="16">
      <c r="A110" t="s">
        <v>134</v>
      </c>
      <c r="B110" s="44" t="s">
        <v>175</v>
      </c>
      <c r="C110" t="s">
        <v>37</v>
      </c>
      <c r="D110" t="s">
        <v>241</v>
      </c>
      <c r="E110" t="s">
        <v>246</v>
      </c>
      <c r="F110" s="48">
        <v>180000</v>
      </c>
      <c r="G110" s="49">
        <v>180000</v>
      </c>
      <c r="H110" s="49">
        <v>135000</v>
      </c>
      <c r="I110" s="49">
        <v>90000</v>
      </c>
    </row>
    <row r="111" spans="1:9" ht="16">
      <c r="A111" t="s">
        <v>134</v>
      </c>
      <c r="B111" s="44" t="s">
        <v>175</v>
      </c>
      <c r="C111" t="s">
        <v>37</v>
      </c>
      <c r="D111" t="s">
        <v>241</v>
      </c>
      <c r="E111" t="s">
        <v>247</v>
      </c>
      <c r="F111" s="48">
        <v>120000</v>
      </c>
      <c r="G111" s="49">
        <v>120000</v>
      </c>
      <c r="H111" s="49">
        <v>90000</v>
      </c>
      <c r="I111" s="49">
        <v>60000</v>
      </c>
    </row>
    <row r="112" spans="1:9" ht="16">
      <c r="A112" t="s">
        <v>134</v>
      </c>
      <c r="B112" s="44" t="s">
        <v>175</v>
      </c>
      <c r="C112" t="s">
        <v>37</v>
      </c>
      <c r="D112" t="s">
        <v>248</v>
      </c>
      <c r="E112" t="s">
        <v>249</v>
      </c>
      <c r="F112" s="48">
        <v>180000</v>
      </c>
      <c r="G112" s="49">
        <v>180000</v>
      </c>
      <c r="H112" s="49">
        <v>135000</v>
      </c>
      <c r="I112" s="49">
        <v>90000</v>
      </c>
    </row>
    <row r="113" spans="1:9" ht="16">
      <c r="A113" t="s">
        <v>134</v>
      </c>
      <c r="B113" s="44" t="s">
        <v>175</v>
      </c>
      <c r="C113" t="s">
        <v>37</v>
      </c>
      <c r="D113" t="s">
        <v>248</v>
      </c>
      <c r="E113" t="s">
        <v>250</v>
      </c>
      <c r="F113" s="48">
        <v>180000</v>
      </c>
      <c r="G113" s="49">
        <v>180000</v>
      </c>
      <c r="H113" s="49">
        <v>135000</v>
      </c>
      <c r="I113" s="49">
        <v>90000</v>
      </c>
    </row>
    <row r="114" spans="1:9" ht="16">
      <c r="A114" t="s">
        <v>134</v>
      </c>
      <c r="B114" s="44" t="s">
        <v>175</v>
      </c>
      <c r="C114" t="s">
        <v>37</v>
      </c>
      <c r="D114" t="s">
        <v>248</v>
      </c>
      <c r="E114" t="s">
        <v>251</v>
      </c>
      <c r="F114" s="48">
        <v>180000</v>
      </c>
      <c r="G114" s="49">
        <v>180000</v>
      </c>
      <c r="H114" s="49">
        <v>135000</v>
      </c>
      <c r="I114" s="49">
        <v>90000</v>
      </c>
    </row>
    <row r="115" spans="1:9" ht="16">
      <c r="A115" t="s">
        <v>134</v>
      </c>
      <c r="B115" s="44" t="s">
        <v>175</v>
      </c>
      <c r="C115" t="s">
        <v>37</v>
      </c>
      <c r="D115" t="s">
        <v>248</v>
      </c>
      <c r="E115" t="s">
        <v>252</v>
      </c>
      <c r="F115" s="48">
        <v>120000</v>
      </c>
      <c r="G115" s="49">
        <v>120000</v>
      </c>
      <c r="H115" s="49">
        <v>90000</v>
      </c>
      <c r="I115" s="49">
        <v>60000</v>
      </c>
    </row>
    <row r="116" spans="1:9" ht="16">
      <c r="A116" t="s">
        <v>134</v>
      </c>
      <c r="B116" s="44" t="s">
        <v>175</v>
      </c>
      <c r="C116" t="s">
        <v>37</v>
      </c>
      <c r="D116" t="s">
        <v>248</v>
      </c>
      <c r="E116" t="s">
        <v>253</v>
      </c>
      <c r="F116" s="48">
        <v>180000</v>
      </c>
      <c r="G116" s="49">
        <v>180000</v>
      </c>
      <c r="H116" s="49">
        <v>135000</v>
      </c>
      <c r="I116" s="49">
        <v>90000</v>
      </c>
    </row>
    <row r="117" spans="1:9" ht="16">
      <c r="A117" t="s">
        <v>134</v>
      </c>
      <c r="B117" s="44" t="s">
        <v>175</v>
      </c>
      <c r="C117" t="s">
        <v>37</v>
      </c>
      <c r="D117" t="s">
        <v>248</v>
      </c>
      <c r="E117" t="s">
        <v>254</v>
      </c>
      <c r="F117" s="48">
        <v>150000</v>
      </c>
      <c r="G117" s="49">
        <v>150000</v>
      </c>
      <c r="H117" s="49">
        <v>112500</v>
      </c>
      <c r="I117" s="49">
        <v>75000</v>
      </c>
    </row>
    <row r="118" spans="1:9" ht="16">
      <c r="A118" t="s">
        <v>134</v>
      </c>
      <c r="B118" s="44" t="s">
        <v>175</v>
      </c>
      <c r="C118" t="s">
        <v>37</v>
      </c>
      <c r="D118" t="s">
        <v>248</v>
      </c>
      <c r="E118" t="s">
        <v>255</v>
      </c>
      <c r="F118" s="48">
        <v>180000</v>
      </c>
      <c r="G118" s="49">
        <v>180000</v>
      </c>
      <c r="H118" s="49">
        <v>135000</v>
      </c>
      <c r="I118" s="49">
        <v>90000</v>
      </c>
    </row>
    <row r="119" spans="1:9" ht="16">
      <c r="A119" t="s">
        <v>134</v>
      </c>
      <c r="B119" s="44" t="s">
        <v>175</v>
      </c>
      <c r="C119" t="s">
        <v>37</v>
      </c>
      <c r="D119" t="s">
        <v>248</v>
      </c>
      <c r="E119" t="s">
        <v>256</v>
      </c>
      <c r="F119" s="48">
        <v>180000</v>
      </c>
      <c r="G119" s="49">
        <v>180000</v>
      </c>
      <c r="H119" s="49">
        <v>135000</v>
      </c>
      <c r="I119" s="49">
        <v>90000</v>
      </c>
    </row>
    <row r="120" spans="1:9" ht="16">
      <c r="A120" t="s">
        <v>134</v>
      </c>
      <c r="B120" s="44" t="s">
        <v>175</v>
      </c>
      <c r="C120" t="s">
        <v>37</v>
      </c>
      <c r="D120" t="s">
        <v>248</v>
      </c>
      <c r="E120" t="s">
        <v>257</v>
      </c>
      <c r="F120" s="48">
        <v>150000</v>
      </c>
      <c r="G120" s="49">
        <v>150000</v>
      </c>
      <c r="H120" s="49">
        <v>112500</v>
      </c>
      <c r="I120" s="49">
        <v>75000</v>
      </c>
    </row>
    <row r="121" spans="1:9" ht="16">
      <c r="A121" t="s">
        <v>134</v>
      </c>
      <c r="B121" s="44" t="s">
        <v>14</v>
      </c>
      <c r="C121" t="s">
        <v>39</v>
      </c>
      <c r="D121" t="s">
        <v>258</v>
      </c>
      <c r="E121" t="s">
        <v>259</v>
      </c>
      <c r="F121" s="48">
        <v>120000</v>
      </c>
      <c r="G121" s="49">
        <v>120000</v>
      </c>
      <c r="H121" s="49">
        <v>90000</v>
      </c>
      <c r="I121" s="49">
        <v>60000</v>
      </c>
    </row>
    <row r="122" spans="1:9" ht="16">
      <c r="A122" t="s">
        <v>134</v>
      </c>
      <c r="B122" s="44" t="s">
        <v>14</v>
      </c>
      <c r="C122" t="s">
        <v>39</v>
      </c>
      <c r="D122" t="s">
        <v>258</v>
      </c>
      <c r="E122" t="s">
        <v>260</v>
      </c>
      <c r="F122" s="48">
        <v>120000</v>
      </c>
      <c r="G122" s="49">
        <v>120000</v>
      </c>
      <c r="H122" s="49">
        <v>90000</v>
      </c>
      <c r="I122" s="49">
        <v>60000</v>
      </c>
    </row>
    <row r="123" spans="1:9" ht="16">
      <c r="A123" t="s">
        <v>134</v>
      </c>
      <c r="B123" s="44" t="s">
        <v>14</v>
      </c>
      <c r="C123" t="s">
        <v>39</v>
      </c>
      <c r="D123" t="s">
        <v>258</v>
      </c>
      <c r="E123" t="s">
        <v>261</v>
      </c>
      <c r="F123" s="48">
        <v>150000</v>
      </c>
      <c r="G123" s="49">
        <v>150000</v>
      </c>
      <c r="H123" s="49">
        <v>112500</v>
      </c>
      <c r="I123" s="49">
        <v>75000</v>
      </c>
    </row>
    <row r="124" spans="1:9" ht="16">
      <c r="A124" t="s">
        <v>134</v>
      </c>
      <c r="B124" s="44" t="s">
        <v>14</v>
      </c>
      <c r="C124" t="s">
        <v>39</v>
      </c>
      <c r="D124" t="s">
        <v>258</v>
      </c>
      <c r="E124" t="s">
        <v>262</v>
      </c>
      <c r="F124" s="48">
        <v>120000</v>
      </c>
      <c r="G124" s="49">
        <v>120000</v>
      </c>
      <c r="H124" s="49">
        <v>90000</v>
      </c>
      <c r="I124" s="49">
        <v>60000</v>
      </c>
    </row>
    <row r="125" spans="1:9" ht="16">
      <c r="A125" t="s">
        <v>134</v>
      </c>
      <c r="B125" s="44" t="s">
        <v>14</v>
      </c>
      <c r="C125" t="s">
        <v>39</v>
      </c>
      <c r="D125" t="s">
        <v>258</v>
      </c>
      <c r="E125" t="s">
        <v>263</v>
      </c>
      <c r="F125" s="48">
        <v>120000</v>
      </c>
      <c r="G125" s="49">
        <v>120000</v>
      </c>
      <c r="H125" s="49">
        <v>90000</v>
      </c>
      <c r="I125" s="49">
        <v>60000</v>
      </c>
    </row>
    <row r="126" spans="1:9" ht="16">
      <c r="A126" t="s">
        <v>134</v>
      </c>
      <c r="B126" s="44" t="s">
        <v>14</v>
      </c>
      <c r="C126" t="s">
        <v>39</v>
      </c>
      <c r="D126" t="s">
        <v>258</v>
      </c>
      <c r="E126" t="s">
        <v>264</v>
      </c>
      <c r="F126" s="48">
        <v>120000</v>
      </c>
      <c r="G126" s="49">
        <v>120000</v>
      </c>
      <c r="H126" s="49">
        <v>90000</v>
      </c>
      <c r="I126" s="49">
        <v>60000</v>
      </c>
    </row>
    <row r="127" spans="1:9" ht="16">
      <c r="A127" t="s">
        <v>134</v>
      </c>
      <c r="B127" s="44" t="s">
        <v>14</v>
      </c>
      <c r="C127" t="s">
        <v>39</v>
      </c>
      <c r="D127" t="s">
        <v>258</v>
      </c>
      <c r="E127" t="s">
        <v>265</v>
      </c>
      <c r="F127" s="48">
        <v>150000</v>
      </c>
      <c r="G127" s="49">
        <v>150000</v>
      </c>
      <c r="H127" s="49">
        <v>112500</v>
      </c>
      <c r="I127" s="49">
        <v>75000</v>
      </c>
    </row>
    <row r="128" spans="1:9" ht="16">
      <c r="A128" t="s">
        <v>134</v>
      </c>
      <c r="B128" s="44" t="s">
        <v>14</v>
      </c>
      <c r="C128" t="s">
        <v>39</v>
      </c>
      <c r="D128" t="s">
        <v>258</v>
      </c>
      <c r="E128" t="s">
        <v>266</v>
      </c>
      <c r="F128" s="48">
        <v>180000</v>
      </c>
      <c r="G128" s="49">
        <v>180000</v>
      </c>
      <c r="H128" s="49">
        <v>135000</v>
      </c>
      <c r="I128" s="49">
        <v>90000</v>
      </c>
    </row>
    <row r="129" spans="1:9" ht="16">
      <c r="A129" t="s">
        <v>134</v>
      </c>
      <c r="B129" s="44" t="s">
        <v>14</v>
      </c>
      <c r="C129" t="s">
        <v>39</v>
      </c>
      <c r="D129" t="s">
        <v>267</v>
      </c>
      <c r="E129" t="s">
        <v>268</v>
      </c>
      <c r="F129" s="48">
        <v>120000</v>
      </c>
      <c r="G129" s="49">
        <v>120000</v>
      </c>
      <c r="H129" s="49">
        <v>90000</v>
      </c>
      <c r="I129" s="49">
        <v>60000</v>
      </c>
    </row>
    <row r="130" spans="1:9" ht="16">
      <c r="A130" t="s">
        <v>134</v>
      </c>
      <c r="B130" s="44" t="s">
        <v>14</v>
      </c>
      <c r="C130" t="s">
        <v>39</v>
      </c>
      <c r="D130" t="s">
        <v>267</v>
      </c>
      <c r="E130" t="s">
        <v>269</v>
      </c>
      <c r="F130" s="48">
        <v>150000</v>
      </c>
      <c r="G130" s="49">
        <v>150000</v>
      </c>
      <c r="H130" s="49">
        <v>112500</v>
      </c>
      <c r="I130" s="49">
        <v>75000</v>
      </c>
    </row>
    <row r="131" spans="1:9" ht="16">
      <c r="A131" t="s">
        <v>134</v>
      </c>
      <c r="B131" s="44" t="s">
        <v>14</v>
      </c>
      <c r="C131" t="s">
        <v>39</v>
      </c>
      <c r="D131" t="s">
        <v>267</v>
      </c>
      <c r="E131" t="s">
        <v>270</v>
      </c>
      <c r="F131" s="48">
        <v>120000</v>
      </c>
      <c r="G131" s="49">
        <v>120000</v>
      </c>
      <c r="H131" s="49">
        <v>90000</v>
      </c>
      <c r="I131" s="49">
        <v>60000</v>
      </c>
    </row>
    <row r="132" spans="1:9" ht="16">
      <c r="A132" t="s">
        <v>134</v>
      </c>
      <c r="B132" s="44" t="s">
        <v>14</v>
      </c>
      <c r="C132" t="s">
        <v>39</v>
      </c>
      <c r="D132" t="s">
        <v>267</v>
      </c>
      <c r="E132" t="s">
        <v>271</v>
      </c>
      <c r="F132" s="48">
        <v>120000</v>
      </c>
      <c r="G132" s="49">
        <v>120000</v>
      </c>
      <c r="H132" s="49">
        <v>90000</v>
      </c>
      <c r="I132" s="49">
        <v>60000</v>
      </c>
    </row>
    <row r="133" spans="1:9" ht="16">
      <c r="A133" t="s">
        <v>134</v>
      </c>
      <c r="B133" s="44" t="s">
        <v>14</v>
      </c>
      <c r="C133" t="s">
        <v>39</v>
      </c>
      <c r="D133" t="s">
        <v>267</v>
      </c>
      <c r="E133" t="s">
        <v>272</v>
      </c>
      <c r="F133" s="48">
        <v>180000</v>
      </c>
      <c r="G133" s="49">
        <v>180000</v>
      </c>
      <c r="H133" s="49">
        <v>135000</v>
      </c>
      <c r="I133" s="49">
        <v>90000</v>
      </c>
    </row>
    <row r="134" spans="1:9" ht="16">
      <c r="A134" t="s">
        <v>134</v>
      </c>
      <c r="B134" s="44" t="s">
        <v>14</v>
      </c>
      <c r="C134" t="s">
        <v>39</v>
      </c>
      <c r="D134" t="s">
        <v>267</v>
      </c>
      <c r="E134" t="s">
        <v>273</v>
      </c>
      <c r="F134" s="48">
        <v>180000</v>
      </c>
      <c r="G134" s="49">
        <v>180000</v>
      </c>
      <c r="H134" s="49">
        <v>135000</v>
      </c>
      <c r="I134" s="49">
        <v>90000</v>
      </c>
    </row>
    <row r="135" spans="1:9" ht="16">
      <c r="A135" t="s">
        <v>134</v>
      </c>
      <c r="B135" s="44" t="s">
        <v>14</v>
      </c>
      <c r="C135" t="s">
        <v>39</v>
      </c>
      <c r="D135" t="s">
        <v>267</v>
      </c>
      <c r="E135" t="s">
        <v>274</v>
      </c>
      <c r="F135" s="48">
        <v>180000</v>
      </c>
      <c r="G135" s="49">
        <v>180000</v>
      </c>
      <c r="H135" s="49">
        <v>135000</v>
      </c>
      <c r="I135" s="49">
        <v>90000</v>
      </c>
    </row>
    <row r="136" spans="1:9" ht="16">
      <c r="A136" t="s">
        <v>134</v>
      </c>
      <c r="B136" s="44" t="s">
        <v>14</v>
      </c>
      <c r="C136" t="s">
        <v>39</v>
      </c>
      <c r="D136" t="s">
        <v>267</v>
      </c>
      <c r="E136" t="s">
        <v>275</v>
      </c>
      <c r="F136" s="48">
        <v>180000</v>
      </c>
      <c r="G136" s="49">
        <v>180000</v>
      </c>
      <c r="H136" s="49">
        <v>135000</v>
      </c>
      <c r="I136" s="49">
        <v>90000</v>
      </c>
    </row>
    <row r="137" spans="1:9" ht="16">
      <c r="A137" t="s">
        <v>134</v>
      </c>
      <c r="B137" s="44" t="s">
        <v>14</v>
      </c>
      <c r="C137" t="s">
        <v>39</v>
      </c>
      <c r="D137" t="s">
        <v>267</v>
      </c>
      <c r="E137" t="s">
        <v>276</v>
      </c>
      <c r="F137" s="48">
        <v>150000</v>
      </c>
      <c r="G137" s="49">
        <v>150000</v>
      </c>
      <c r="H137" s="49">
        <v>112500</v>
      </c>
      <c r="I137" s="49">
        <v>75000</v>
      </c>
    </row>
    <row r="138" spans="1:9" ht="16">
      <c r="A138" t="s">
        <v>134</v>
      </c>
      <c r="B138" s="44" t="s">
        <v>14</v>
      </c>
      <c r="C138" t="s">
        <v>39</v>
      </c>
      <c r="D138" t="s">
        <v>267</v>
      </c>
      <c r="E138" t="s">
        <v>277</v>
      </c>
      <c r="F138" s="48">
        <v>150000</v>
      </c>
      <c r="G138" s="49">
        <v>150000</v>
      </c>
      <c r="H138" s="49">
        <v>112500</v>
      </c>
      <c r="I138" s="49">
        <v>75000</v>
      </c>
    </row>
    <row r="139" spans="1:9" ht="16">
      <c r="A139" t="s">
        <v>134</v>
      </c>
      <c r="B139" s="44" t="s">
        <v>14</v>
      </c>
      <c r="C139" t="s">
        <v>38</v>
      </c>
      <c r="D139" t="s">
        <v>278</v>
      </c>
      <c r="E139" t="s">
        <v>279</v>
      </c>
      <c r="F139" s="48">
        <v>150000</v>
      </c>
      <c r="G139" s="49">
        <v>150000</v>
      </c>
      <c r="H139" s="49">
        <v>112500</v>
      </c>
      <c r="I139" s="49">
        <v>75000</v>
      </c>
    </row>
    <row r="140" spans="1:9" ht="16">
      <c r="A140" t="s">
        <v>134</v>
      </c>
      <c r="B140" s="44" t="s">
        <v>14</v>
      </c>
      <c r="C140" t="s">
        <v>38</v>
      </c>
      <c r="D140" t="s">
        <v>278</v>
      </c>
      <c r="E140" t="s">
        <v>280</v>
      </c>
      <c r="F140" s="48">
        <v>150000</v>
      </c>
      <c r="G140" s="49">
        <v>150000</v>
      </c>
      <c r="H140" s="49">
        <v>112500</v>
      </c>
      <c r="I140" s="49">
        <v>75000</v>
      </c>
    </row>
    <row r="141" spans="1:9" ht="16">
      <c r="A141" t="s">
        <v>134</v>
      </c>
      <c r="B141" s="44" t="s">
        <v>14</v>
      </c>
      <c r="C141" t="s">
        <v>38</v>
      </c>
      <c r="D141" t="s">
        <v>278</v>
      </c>
      <c r="E141" t="s">
        <v>281</v>
      </c>
      <c r="F141" s="48">
        <v>120000</v>
      </c>
      <c r="G141" s="49">
        <v>120000</v>
      </c>
      <c r="H141" s="49">
        <v>90000</v>
      </c>
      <c r="I141" s="49">
        <v>60000</v>
      </c>
    </row>
    <row r="142" spans="1:9" ht="16">
      <c r="A142" t="s">
        <v>134</v>
      </c>
      <c r="B142" s="44" t="s">
        <v>14</v>
      </c>
      <c r="C142" t="s">
        <v>38</v>
      </c>
      <c r="D142" t="s">
        <v>278</v>
      </c>
      <c r="E142" t="s">
        <v>282</v>
      </c>
      <c r="F142" s="48">
        <v>120000</v>
      </c>
      <c r="G142" s="49">
        <v>120000</v>
      </c>
      <c r="H142" s="49">
        <v>90000</v>
      </c>
      <c r="I142" s="49">
        <v>60000</v>
      </c>
    </row>
    <row r="143" spans="1:9" ht="16">
      <c r="A143" t="s">
        <v>134</v>
      </c>
      <c r="B143" s="44" t="s">
        <v>15</v>
      </c>
      <c r="C143" t="s">
        <v>44</v>
      </c>
      <c r="D143" t="s">
        <v>283</v>
      </c>
      <c r="E143" t="s">
        <v>90</v>
      </c>
      <c r="F143" s="48">
        <v>180000</v>
      </c>
      <c r="G143" s="49">
        <v>180000</v>
      </c>
      <c r="H143" s="49">
        <v>135000</v>
      </c>
      <c r="I143" s="49">
        <v>90000</v>
      </c>
    </row>
    <row r="144" spans="1:9" ht="16">
      <c r="A144" t="s">
        <v>134</v>
      </c>
      <c r="B144" s="44" t="s">
        <v>15</v>
      </c>
      <c r="C144" t="s">
        <v>44</v>
      </c>
      <c r="D144" t="s">
        <v>283</v>
      </c>
      <c r="E144" t="s">
        <v>284</v>
      </c>
      <c r="F144" s="48">
        <v>120000</v>
      </c>
      <c r="G144" s="49">
        <v>120000</v>
      </c>
      <c r="H144" s="49">
        <v>90000</v>
      </c>
      <c r="I144" s="49">
        <v>60000</v>
      </c>
    </row>
    <row r="145" spans="1:9" ht="16">
      <c r="A145" t="s">
        <v>134</v>
      </c>
      <c r="B145" s="44" t="s">
        <v>15</v>
      </c>
      <c r="C145" t="s">
        <v>44</v>
      </c>
      <c r="D145" t="s">
        <v>283</v>
      </c>
      <c r="E145" t="s">
        <v>285</v>
      </c>
      <c r="F145" s="48">
        <v>180000</v>
      </c>
      <c r="G145" s="49">
        <v>180000</v>
      </c>
      <c r="H145" s="49">
        <v>135000</v>
      </c>
      <c r="I145" s="49">
        <v>90000</v>
      </c>
    </row>
    <row r="146" spans="1:9" ht="16">
      <c r="A146" t="s">
        <v>134</v>
      </c>
      <c r="B146" s="44" t="s">
        <v>15</v>
      </c>
      <c r="C146" t="s">
        <v>44</v>
      </c>
      <c r="D146" t="s">
        <v>283</v>
      </c>
      <c r="E146" t="s">
        <v>286</v>
      </c>
      <c r="F146" s="48">
        <v>150000</v>
      </c>
      <c r="G146" s="49">
        <v>150000</v>
      </c>
      <c r="H146" s="49">
        <v>112500</v>
      </c>
      <c r="I146" s="49">
        <v>75000</v>
      </c>
    </row>
    <row r="147" spans="1:9" ht="16">
      <c r="A147" t="s">
        <v>134</v>
      </c>
      <c r="B147" s="44" t="s">
        <v>15</v>
      </c>
      <c r="C147" t="s">
        <v>44</v>
      </c>
      <c r="D147" t="s">
        <v>283</v>
      </c>
      <c r="E147" t="s">
        <v>287</v>
      </c>
      <c r="F147" s="48">
        <v>150000</v>
      </c>
      <c r="G147" s="49">
        <v>150000</v>
      </c>
      <c r="H147" s="49">
        <v>112500</v>
      </c>
      <c r="I147" s="49">
        <v>75000</v>
      </c>
    </row>
    <row r="148" spans="1:9" ht="16">
      <c r="A148" t="s">
        <v>134</v>
      </c>
      <c r="B148" s="44" t="s">
        <v>15</v>
      </c>
      <c r="C148" t="s">
        <v>44</v>
      </c>
      <c r="D148" t="s">
        <v>283</v>
      </c>
      <c r="E148" t="s">
        <v>288</v>
      </c>
      <c r="F148" s="48">
        <v>150000</v>
      </c>
      <c r="G148" s="49">
        <v>150000</v>
      </c>
      <c r="H148" s="49">
        <v>112500</v>
      </c>
      <c r="I148" s="49">
        <v>75000</v>
      </c>
    </row>
    <row r="149" spans="1:9" ht="16">
      <c r="A149" t="s">
        <v>134</v>
      </c>
      <c r="B149" s="44" t="s">
        <v>15</v>
      </c>
      <c r="C149" t="s">
        <v>44</v>
      </c>
      <c r="D149" t="s">
        <v>289</v>
      </c>
      <c r="E149" t="s">
        <v>290</v>
      </c>
      <c r="F149" s="48">
        <v>150000</v>
      </c>
      <c r="G149" s="49">
        <v>150000</v>
      </c>
      <c r="H149" s="49">
        <v>112500</v>
      </c>
      <c r="I149" s="49">
        <v>75000</v>
      </c>
    </row>
    <row r="150" spans="1:9" ht="16">
      <c r="A150" t="s">
        <v>134</v>
      </c>
      <c r="B150" s="44" t="s">
        <v>15</v>
      </c>
      <c r="C150" t="s">
        <v>44</v>
      </c>
      <c r="D150" t="s">
        <v>289</v>
      </c>
      <c r="E150" t="s">
        <v>291</v>
      </c>
      <c r="F150" s="48">
        <v>120000</v>
      </c>
      <c r="G150" s="49">
        <v>120000</v>
      </c>
      <c r="H150" s="49">
        <v>90000</v>
      </c>
      <c r="I150" s="49">
        <v>60000</v>
      </c>
    </row>
    <row r="151" spans="1:9" ht="16">
      <c r="A151" t="s">
        <v>134</v>
      </c>
      <c r="B151" s="44" t="s">
        <v>15</v>
      </c>
      <c r="C151" t="s">
        <v>44</v>
      </c>
      <c r="D151" t="s">
        <v>289</v>
      </c>
      <c r="E151" t="s">
        <v>292</v>
      </c>
      <c r="F151" s="48">
        <v>180000</v>
      </c>
      <c r="G151" s="49">
        <v>180000</v>
      </c>
      <c r="H151" s="49">
        <v>135000</v>
      </c>
      <c r="I151" s="49">
        <v>90000</v>
      </c>
    </row>
    <row r="152" spans="1:9" ht="16">
      <c r="A152" t="s">
        <v>134</v>
      </c>
      <c r="B152" s="44" t="s">
        <v>15</v>
      </c>
      <c r="C152" t="s">
        <v>44</v>
      </c>
      <c r="D152" t="s">
        <v>289</v>
      </c>
      <c r="E152" t="s">
        <v>94</v>
      </c>
      <c r="F152" s="48">
        <v>180000</v>
      </c>
      <c r="G152" s="49">
        <v>180000</v>
      </c>
      <c r="H152" s="49">
        <v>135000</v>
      </c>
      <c r="I152" s="49">
        <v>90000</v>
      </c>
    </row>
    <row r="153" spans="1:9" ht="16">
      <c r="A153" t="s">
        <v>134</v>
      </c>
      <c r="B153" s="44" t="s">
        <v>15</v>
      </c>
      <c r="C153" t="s">
        <v>44</v>
      </c>
      <c r="D153" t="s">
        <v>289</v>
      </c>
      <c r="E153" t="s">
        <v>293</v>
      </c>
      <c r="F153" s="48">
        <v>180000</v>
      </c>
      <c r="G153" s="49">
        <v>180000</v>
      </c>
      <c r="H153" s="49">
        <v>135000</v>
      </c>
      <c r="I153" s="49">
        <v>90000</v>
      </c>
    </row>
    <row r="154" spans="1:9" ht="16">
      <c r="A154" t="s">
        <v>134</v>
      </c>
      <c r="B154" s="44" t="s">
        <v>15</v>
      </c>
      <c r="C154" t="s">
        <v>44</v>
      </c>
      <c r="D154" t="s">
        <v>289</v>
      </c>
      <c r="E154" t="s">
        <v>294</v>
      </c>
      <c r="F154" s="48">
        <v>150000</v>
      </c>
      <c r="G154" s="49">
        <v>150000</v>
      </c>
      <c r="H154" s="49">
        <v>112500</v>
      </c>
      <c r="I154" s="49">
        <v>75000</v>
      </c>
    </row>
    <row r="155" spans="1:9" ht="16">
      <c r="A155" t="s">
        <v>134</v>
      </c>
      <c r="B155" s="44" t="s">
        <v>15</v>
      </c>
      <c r="C155" t="s">
        <v>44</v>
      </c>
      <c r="D155" t="s">
        <v>289</v>
      </c>
      <c r="E155" t="s">
        <v>92</v>
      </c>
      <c r="F155" s="48">
        <v>180000</v>
      </c>
      <c r="G155" s="49">
        <v>180000</v>
      </c>
      <c r="H155" s="49">
        <v>135000</v>
      </c>
      <c r="I155" s="49">
        <v>90000</v>
      </c>
    </row>
    <row r="156" spans="1:9" ht="16">
      <c r="A156" t="s">
        <v>134</v>
      </c>
      <c r="B156" s="44" t="s">
        <v>15</v>
      </c>
      <c r="C156" t="s">
        <v>44</v>
      </c>
      <c r="D156" t="s">
        <v>295</v>
      </c>
      <c r="E156" t="s">
        <v>102</v>
      </c>
      <c r="F156" s="48">
        <v>180000</v>
      </c>
      <c r="G156" s="49">
        <v>180000</v>
      </c>
      <c r="H156" s="49">
        <v>135000</v>
      </c>
      <c r="I156" s="49">
        <v>90000</v>
      </c>
    </row>
    <row r="157" spans="1:9" ht="16">
      <c r="A157" t="s">
        <v>134</v>
      </c>
      <c r="B157" s="44" t="s">
        <v>15</v>
      </c>
      <c r="C157" t="s">
        <v>44</v>
      </c>
      <c r="D157" t="s">
        <v>295</v>
      </c>
      <c r="E157" t="s">
        <v>296</v>
      </c>
      <c r="F157" s="48">
        <v>120000</v>
      </c>
      <c r="G157" s="49">
        <v>120000</v>
      </c>
      <c r="H157" s="49">
        <v>90000</v>
      </c>
      <c r="I157" s="49">
        <v>60000</v>
      </c>
    </row>
    <row r="158" spans="1:9" ht="16">
      <c r="A158" t="s">
        <v>134</v>
      </c>
      <c r="B158" s="44" t="s">
        <v>15</v>
      </c>
      <c r="C158" t="s">
        <v>44</v>
      </c>
      <c r="D158" t="s">
        <v>295</v>
      </c>
      <c r="E158" t="s">
        <v>98</v>
      </c>
      <c r="F158" s="48">
        <v>180000</v>
      </c>
      <c r="G158" s="49">
        <v>180000</v>
      </c>
      <c r="H158" s="49">
        <v>135000</v>
      </c>
      <c r="I158" s="49">
        <v>90000</v>
      </c>
    </row>
    <row r="159" spans="1:9" ht="16">
      <c r="A159" t="s">
        <v>134</v>
      </c>
      <c r="B159" s="44" t="s">
        <v>15</v>
      </c>
      <c r="C159" t="s">
        <v>44</v>
      </c>
      <c r="D159" t="s">
        <v>295</v>
      </c>
      <c r="E159" t="s">
        <v>297</v>
      </c>
      <c r="F159" s="48">
        <v>120000</v>
      </c>
      <c r="G159" s="49">
        <v>120000</v>
      </c>
      <c r="H159" s="49">
        <v>90000</v>
      </c>
      <c r="I159" s="49">
        <v>60000</v>
      </c>
    </row>
    <row r="160" spans="1:9" ht="16">
      <c r="A160" t="s">
        <v>134</v>
      </c>
      <c r="B160" s="44" t="s">
        <v>15</v>
      </c>
      <c r="C160" t="s">
        <v>44</v>
      </c>
      <c r="D160" t="s">
        <v>295</v>
      </c>
      <c r="E160" t="s">
        <v>96</v>
      </c>
      <c r="F160" s="48">
        <v>150000</v>
      </c>
      <c r="G160" s="49">
        <v>150000</v>
      </c>
      <c r="H160" s="49">
        <v>112500</v>
      </c>
      <c r="I160" s="49">
        <v>75000</v>
      </c>
    </row>
    <row r="161" spans="1:9" ht="16">
      <c r="A161" t="s">
        <v>134</v>
      </c>
      <c r="B161" s="44" t="s">
        <v>15</v>
      </c>
      <c r="C161" t="s">
        <v>44</v>
      </c>
      <c r="D161" t="s">
        <v>295</v>
      </c>
      <c r="E161" t="s">
        <v>298</v>
      </c>
      <c r="F161" s="48">
        <v>180000</v>
      </c>
      <c r="G161" s="49">
        <v>180000</v>
      </c>
      <c r="H161" s="49">
        <v>135000</v>
      </c>
      <c r="I161" s="49">
        <v>90000</v>
      </c>
    </row>
    <row r="162" spans="1:9" ht="16">
      <c r="A162" t="s">
        <v>134</v>
      </c>
      <c r="B162" s="44" t="s">
        <v>15</v>
      </c>
      <c r="C162" t="s">
        <v>44</v>
      </c>
      <c r="D162" t="s">
        <v>295</v>
      </c>
      <c r="E162" t="s">
        <v>100</v>
      </c>
      <c r="F162" s="48">
        <v>150000</v>
      </c>
      <c r="G162" s="49">
        <v>150000</v>
      </c>
      <c r="H162" s="49">
        <v>112500</v>
      </c>
      <c r="I162" s="49">
        <v>75000</v>
      </c>
    </row>
    <row r="163" spans="1:9" ht="16">
      <c r="A163" t="s">
        <v>134</v>
      </c>
      <c r="B163" s="44" t="s">
        <v>15</v>
      </c>
      <c r="C163" t="s">
        <v>44</v>
      </c>
      <c r="D163" t="s">
        <v>299</v>
      </c>
      <c r="E163" t="s">
        <v>300</v>
      </c>
      <c r="F163" s="48">
        <v>150000</v>
      </c>
      <c r="G163" s="49">
        <v>150000</v>
      </c>
      <c r="H163" s="49">
        <v>112500</v>
      </c>
      <c r="I163" s="49">
        <v>75000</v>
      </c>
    </row>
    <row r="164" spans="1:9" ht="16">
      <c r="A164" t="s">
        <v>134</v>
      </c>
      <c r="B164" s="44" t="s">
        <v>15</v>
      </c>
      <c r="C164" t="s">
        <v>44</v>
      </c>
      <c r="D164" t="s">
        <v>299</v>
      </c>
      <c r="E164" t="s">
        <v>104</v>
      </c>
      <c r="F164" s="48">
        <v>180000</v>
      </c>
      <c r="G164" s="49">
        <v>180000</v>
      </c>
      <c r="H164" s="49">
        <v>135000</v>
      </c>
      <c r="I164" s="49">
        <v>90000</v>
      </c>
    </row>
    <row r="165" spans="1:9" ht="16">
      <c r="A165" t="s">
        <v>134</v>
      </c>
      <c r="B165" s="44" t="s">
        <v>15</v>
      </c>
      <c r="C165" t="s">
        <v>44</v>
      </c>
      <c r="D165" t="s">
        <v>299</v>
      </c>
      <c r="E165" t="s">
        <v>301</v>
      </c>
      <c r="F165" s="48">
        <v>150000</v>
      </c>
      <c r="G165" s="49">
        <v>150000</v>
      </c>
      <c r="H165" s="49">
        <v>112500</v>
      </c>
      <c r="I165" s="49">
        <v>75000</v>
      </c>
    </row>
    <row r="166" spans="1:9" ht="16">
      <c r="A166" t="s">
        <v>134</v>
      </c>
      <c r="B166" s="44" t="s">
        <v>15</v>
      </c>
      <c r="C166" t="s">
        <v>44</v>
      </c>
      <c r="D166" t="s">
        <v>299</v>
      </c>
      <c r="E166" t="s">
        <v>302</v>
      </c>
      <c r="F166" s="48">
        <v>150000</v>
      </c>
      <c r="G166" s="49">
        <v>150000</v>
      </c>
      <c r="H166" s="49">
        <v>112500</v>
      </c>
      <c r="I166" s="49">
        <v>75000</v>
      </c>
    </row>
    <row r="167" spans="1:9" ht="16">
      <c r="A167" t="s">
        <v>134</v>
      </c>
      <c r="B167" s="44" t="s">
        <v>15</v>
      </c>
      <c r="C167" t="s">
        <v>44</v>
      </c>
      <c r="D167" t="s">
        <v>299</v>
      </c>
      <c r="E167" t="s">
        <v>303</v>
      </c>
      <c r="F167" s="48">
        <v>180000</v>
      </c>
      <c r="G167" s="49">
        <v>180000</v>
      </c>
      <c r="H167" s="49">
        <v>135000</v>
      </c>
      <c r="I167" s="49">
        <v>90000</v>
      </c>
    </row>
    <row r="168" spans="1:9" ht="16">
      <c r="A168" t="s">
        <v>134</v>
      </c>
      <c r="B168" s="44" t="s">
        <v>15</v>
      </c>
      <c r="C168" t="s">
        <v>44</v>
      </c>
      <c r="D168" t="s">
        <v>299</v>
      </c>
      <c r="E168" t="s">
        <v>106</v>
      </c>
      <c r="F168" s="48">
        <v>180000</v>
      </c>
      <c r="G168" s="49">
        <v>180000</v>
      </c>
      <c r="H168" s="49">
        <v>135000</v>
      </c>
      <c r="I168" s="49">
        <v>90000</v>
      </c>
    </row>
    <row r="169" spans="1:9" ht="16">
      <c r="A169" t="s">
        <v>134</v>
      </c>
      <c r="B169" s="44" t="s">
        <v>15</v>
      </c>
      <c r="C169" t="s">
        <v>43</v>
      </c>
      <c r="D169" t="s">
        <v>304</v>
      </c>
      <c r="E169" t="s">
        <v>305</v>
      </c>
      <c r="F169" s="48">
        <v>120000</v>
      </c>
      <c r="G169" s="49">
        <v>120000</v>
      </c>
      <c r="H169" s="49">
        <v>90000</v>
      </c>
      <c r="I169" s="49">
        <v>60000</v>
      </c>
    </row>
    <row r="170" spans="1:9" ht="16">
      <c r="A170" t="s">
        <v>134</v>
      </c>
      <c r="B170" s="44" t="s">
        <v>15</v>
      </c>
      <c r="C170" t="s">
        <v>43</v>
      </c>
      <c r="D170" t="s">
        <v>304</v>
      </c>
      <c r="E170" t="s">
        <v>306</v>
      </c>
      <c r="F170" s="48">
        <v>180000</v>
      </c>
      <c r="G170" s="49">
        <v>180000</v>
      </c>
      <c r="H170" s="49">
        <v>135000</v>
      </c>
      <c r="I170" s="49">
        <v>90000</v>
      </c>
    </row>
    <row r="171" spans="1:9" ht="16">
      <c r="A171" t="s">
        <v>134</v>
      </c>
      <c r="B171" s="44" t="s">
        <v>15</v>
      </c>
      <c r="C171" t="s">
        <v>43</v>
      </c>
      <c r="D171" t="s">
        <v>304</v>
      </c>
      <c r="E171" t="s">
        <v>307</v>
      </c>
      <c r="F171" s="48">
        <v>150000</v>
      </c>
      <c r="G171" s="49">
        <v>150000</v>
      </c>
      <c r="H171" s="49">
        <v>112500</v>
      </c>
      <c r="I171" s="49">
        <v>75000</v>
      </c>
    </row>
    <row r="172" spans="1:9" ht="16">
      <c r="A172" t="s">
        <v>134</v>
      </c>
      <c r="B172" s="44" t="s">
        <v>15</v>
      </c>
      <c r="C172" t="s">
        <v>43</v>
      </c>
      <c r="D172" t="s">
        <v>304</v>
      </c>
      <c r="E172" t="s">
        <v>308</v>
      </c>
      <c r="F172" s="48">
        <v>150000</v>
      </c>
      <c r="G172" s="49">
        <v>150000</v>
      </c>
      <c r="H172" s="49">
        <v>112500</v>
      </c>
      <c r="I172" s="49">
        <v>75000</v>
      </c>
    </row>
    <row r="173" spans="1:9" ht="16">
      <c r="A173" t="s">
        <v>134</v>
      </c>
      <c r="B173" s="44" t="s">
        <v>15</v>
      </c>
      <c r="C173" t="s">
        <v>43</v>
      </c>
      <c r="D173" t="s">
        <v>304</v>
      </c>
      <c r="E173" t="s">
        <v>309</v>
      </c>
      <c r="F173" s="48">
        <v>150000</v>
      </c>
      <c r="G173" s="49">
        <v>150000</v>
      </c>
      <c r="H173" s="49">
        <v>112500</v>
      </c>
      <c r="I173" s="49">
        <v>75000</v>
      </c>
    </row>
    <row r="174" spans="1:9" ht="16">
      <c r="A174" t="s">
        <v>134</v>
      </c>
      <c r="B174" s="44" t="s">
        <v>15</v>
      </c>
      <c r="C174" t="s">
        <v>43</v>
      </c>
      <c r="D174" t="s">
        <v>304</v>
      </c>
      <c r="E174" t="s">
        <v>310</v>
      </c>
      <c r="F174" s="48">
        <v>150000</v>
      </c>
      <c r="G174" s="49">
        <v>150000</v>
      </c>
      <c r="H174" s="49">
        <v>112500</v>
      </c>
      <c r="I174" s="49">
        <v>75000</v>
      </c>
    </row>
    <row r="175" spans="1:9" ht="16">
      <c r="A175" t="s">
        <v>134</v>
      </c>
      <c r="B175" s="44" t="s">
        <v>15</v>
      </c>
      <c r="C175" t="s">
        <v>43</v>
      </c>
      <c r="D175" t="s">
        <v>304</v>
      </c>
      <c r="E175" t="s">
        <v>311</v>
      </c>
      <c r="F175" s="48">
        <v>180000</v>
      </c>
      <c r="G175" s="49">
        <v>180000</v>
      </c>
      <c r="H175" s="49">
        <v>135000</v>
      </c>
      <c r="I175" s="49">
        <v>90000</v>
      </c>
    </row>
    <row r="176" spans="1:9" ht="16">
      <c r="A176" t="s">
        <v>134</v>
      </c>
      <c r="B176" s="44" t="s">
        <v>15</v>
      </c>
      <c r="C176" t="s">
        <v>43</v>
      </c>
      <c r="D176" t="s">
        <v>304</v>
      </c>
      <c r="E176" t="s">
        <v>312</v>
      </c>
      <c r="F176" s="48">
        <v>150000</v>
      </c>
      <c r="G176" s="49">
        <v>150000</v>
      </c>
      <c r="H176" s="49">
        <v>112500</v>
      </c>
      <c r="I176" s="49">
        <v>75000</v>
      </c>
    </row>
    <row r="177" spans="1:9" ht="16">
      <c r="A177" t="s">
        <v>134</v>
      </c>
      <c r="B177" s="44" t="s">
        <v>15</v>
      </c>
      <c r="C177" t="s">
        <v>43</v>
      </c>
      <c r="D177" t="s">
        <v>304</v>
      </c>
      <c r="E177" t="s">
        <v>313</v>
      </c>
      <c r="F177" s="48">
        <v>120000</v>
      </c>
      <c r="G177" s="49">
        <v>120000</v>
      </c>
      <c r="H177" s="49">
        <v>90000</v>
      </c>
      <c r="I177" s="49">
        <v>60000</v>
      </c>
    </row>
    <row r="178" spans="1:9" ht="16">
      <c r="A178" t="s">
        <v>134</v>
      </c>
      <c r="B178" s="44" t="s">
        <v>15</v>
      </c>
      <c r="C178" t="s">
        <v>43</v>
      </c>
      <c r="D178" t="s">
        <v>314</v>
      </c>
      <c r="E178" t="s">
        <v>315</v>
      </c>
      <c r="F178" s="48">
        <v>150000</v>
      </c>
      <c r="G178" s="49">
        <v>150000</v>
      </c>
      <c r="H178" s="49">
        <v>112500</v>
      </c>
      <c r="I178" s="49">
        <v>75000</v>
      </c>
    </row>
    <row r="179" spans="1:9" ht="16">
      <c r="A179" t="s">
        <v>134</v>
      </c>
      <c r="B179" s="44" t="s">
        <v>15</v>
      </c>
      <c r="C179" t="s">
        <v>43</v>
      </c>
      <c r="D179" t="s">
        <v>314</v>
      </c>
      <c r="E179" t="s">
        <v>316</v>
      </c>
      <c r="F179" s="48">
        <v>150000</v>
      </c>
      <c r="G179" s="49">
        <v>150000</v>
      </c>
      <c r="H179" s="49">
        <v>112500</v>
      </c>
      <c r="I179" s="49">
        <v>75000</v>
      </c>
    </row>
    <row r="180" spans="1:9" ht="16">
      <c r="A180" t="s">
        <v>134</v>
      </c>
      <c r="B180" s="44" t="s">
        <v>15</v>
      </c>
      <c r="C180" t="s">
        <v>43</v>
      </c>
      <c r="D180" t="s">
        <v>314</v>
      </c>
      <c r="E180" t="s">
        <v>317</v>
      </c>
      <c r="F180" s="48">
        <v>150000</v>
      </c>
      <c r="G180" s="49">
        <v>150000</v>
      </c>
      <c r="H180" s="49">
        <v>112500</v>
      </c>
      <c r="I180" s="49">
        <v>75000</v>
      </c>
    </row>
    <row r="181" spans="1:9" ht="16">
      <c r="A181" t="s">
        <v>134</v>
      </c>
      <c r="B181" s="44" t="s">
        <v>15</v>
      </c>
      <c r="C181" t="s">
        <v>43</v>
      </c>
      <c r="D181" t="s">
        <v>314</v>
      </c>
      <c r="E181" t="s">
        <v>318</v>
      </c>
      <c r="F181" s="48">
        <v>150000</v>
      </c>
      <c r="G181" s="49">
        <v>150000</v>
      </c>
      <c r="H181" s="49">
        <v>112500</v>
      </c>
      <c r="I181" s="49">
        <v>75000</v>
      </c>
    </row>
    <row r="182" spans="1:9" ht="16">
      <c r="A182" t="s">
        <v>134</v>
      </c>
      <c r="B182" s="44" t="s">
        <v>15</v>
      </c>
      <c r="C182" t="s">
        <v>43</v>
      </c>
      <c r="D182" t="s">
        <v>314</v>
      </c>
      <c r="E182" t="s">
        <v>319</v>
      </c>
      <c r="F182" s="48">
        <v>150000</v>
      </c>
      <c r="G182" s="49">
        <v>150000</v>
      </c>
      <c r="H182" s="49">
        <v>112500</v>
      </c>
      <c r="I182" s="49">
        <v>75000</v>
      </c>
    </row>
    <row r="183" spans="1:9" ht="16">
      <c r="A183" t="s">
        <v>134</v>
      </c>
      <c r="B183" s="44" t="s">
        <v>15</v>
      </c>
      <c r="C183" t="s">
        <v>43</v>
      </c>
      <c r="D183" t="s">
        <v>314</v>
      </c>
      <c r="E183" t="s">
        <v>320</v>
      </c>
      <c r="F183" s="48">
        <v>150000</v>
      </c>
      <c r="G183" s="49">
        <v>150000</v>
      </c>
      <c r="H183" s="49">
        <v>112500</v>
      </c>
      <c r="I183" s="49">
        <v>75000</v>
      </c>
    </row>
    <row r="184" spans="1:9" ht="16">
      <c r="A184" t="s">
        <v>134</v>
      </c>
      <c r="B184" s="44" t="s">
        <v>15</v>
      </c>
      <c r="C184" t="s">
        <v>43</v>
      </c>
      <c r="D184" t="s">
        <v>314</v>
      </c>
      <c r="E184" t="s">
        <v>321</v>
      </c>
      <c r="F184" s="48">
        <v>120000</v>
      </c>
      <c r="G184" s="49">
        <v>120000</v>
      </c>
      <c r="H184" s="49">
        <v>90000</v>
      </c>
      <c r="I184" s="49">
        <v>60000</v>
      </c>
    </row>
    <row r="185" spans="1:9" ht="16">
      <c r="A185" t="s">
        <v>134</v>
      </c>
      <c r="B185" s="44" t="s">
        <v>15</v>
      </c>
      <c r="C185" t="s">
        <v>43</v>
      </c>
      <c r="D185" t="s">
        <v>314</v>
      </c>
      <c r="E185" t="s">
        <v>322</v>
      </c>
      <c r="F185" s="48">
        <v>150000</v>
      </c>
      <c r="G185" s="49">
        <v>150000</v>
      </c>
      <c r="H185" s="49">
        <v>112500</v>
      </c>
      <c r="I185" s="49">
        <v>75000</v>
      </c>
    </row>
    <row r="186" spans="1:9" ht="16">
      <c r="A186" t="s">
        <v>134</v>
      </c>
      <c r="B186" s="44" t="s">
        <v>15</v>
      </c>
      <c r="C186" t="s">
        <v>43</v>
      </c>
      <c r="D186" t="s">
        <v>314</v>
      </c>
      <c r="E186" t="s">
        <v>323</v>
      </c>
      <c r="F186" s="48">
        <v>150000</v>
      </c>
      <c r="G186" s="49">
        <v>150000</v>
      </c>
      <c r="H186" s="49">
        <v>112500</v>
      </c>
      <c r="I186" s="49">
        <v>75000</v>
      </c>
    </row>
    <row r="187" spans="1:9" ht="16">
      <c r="A187" t="s">
        <v>134</v>
      </c>
      <c r="B187" s="44" t="s">
        <v>15</v>
      </c>
      <c r="C187" t="s">
        <v>43</v>
      </c>
      <c r="D187" t="s">
        <v>314</v>
      </c>
      <c r="E187" t="s">
        <v>324</v>
      </c>
      <c r="F187" s="48">
        <v>120000</v>
      </c>
      <c r="G187" s="49">
        <v>120000</v>
      </c>
      <c r="H187" s="49">
        <v>90000</v>
      </c>
      <c r="I187" s="49">
        <v>60000</v>
      </c>
    </row>
    <row r="188" spans="1:9" ht="16">
      <c r="A188" t="s">
        <v>134</v>
      </c>
      <c r="B188" s="44" t="s">
        <v>15</v>
      </c>
      <c r="C188" t="s">
        <v>43</v>
      </c>
      <c r="D188" t="s">
        <v>314</v>
      </c>
      <c r="E188" t="s">
        <v>325</v>
      </c>
      <c r="F188" s="48">
        <v>120000</v>
      </c>
      <c r="G188" s="49">
        <v>120000</v>
      </c>
      <c r="H188" s="49">
        <v>90000</v>
      </c>
      <c r="I188" s="49">
        <v>60000</v>
      </c>
    </row>
    <row r="189" spans="1:9" ht="16">
      <c r="A189" t="s">
        <v>134</v>
      </c>
      <c r="B189" s="44" t="s">
        <v>15</v>
      </c>
      <c r="C189" t="s">
        <v>41</v>
      </c>
      <c r="D189" t="s">
        <v>326</v>
      </c>
      <c r="E189" t="s">
        <v>327</v>
      </c>
      <c r="F189" s="48">
        <v>180000</v>
      </c>
      <c r="G189" s="49">
        <v>180000</v>
      </c>
      <c r="H189" s="49">
        <v>135000</v>
      </c>
      <c r="I189" s="49">
        <v>90000</v>
      </c>
    </row>
    <row r="190" spans="1:9" ht="16">
      <c r="A190" t="s">
        <v>134</v>
      </c>
      <c r="B190" s="44" t="s">
        <v>15</v>
      </c>
      <c r="C190" t="s">
        <v>41</v>
      </c>
      <c r="D190" t="s">
        <v>326</v>
      </c>
      <c r="E190" t="s">
        <v>108</v>
      </c>
      <c r="F190" s="48">
        <v>180000</v>
      </c>
      <c r="G190" s="49">
        <v>180000</v>
      </c>
      <c r="H190" s="49">
        <v>135000</v>
      </c>
      <c r="I190" s="49">
        <v>90000</v>
      </c>
    </row>
    <row r="191" spans="1:9" ht="16">
      <c r="A191" t="s">
        <v>134</v>
      </c>
      <c r="B191" s="44" t="s">
        <v>15</v>
      </c>
      <c r="C191" t="s">
        <v>41</v>
      </c>
      <c r="D191" t="s">
        <v>326</v>
      </c>
      <c r="E191" t="s">
        <v>328</v>
      </c>
      <c r="F191" s="48">
        <v>180000</v>
      </c>
      <c r="G191" s="49">
        <v>180000</v>
      </c>
      <c r="H191" s="49">
        <v>135000</v>
      </c>
      <c r="I191" s="49">
        <v>90000</v>
      </c>
    </row>
    <row r="192" spans="1:9" ht="16">
      <c r="A192" t="s">
        <v>134</v>
      </c>
      <c r="B192" s="44" t="s">
        <v>15</v>
      </c>
      <c r="C192" t="s">
        <v>41</v>
      </c>
      <c r="D192" t="s">
        <v>326</v>
      </c>
      <c r="E192" t="s">
        <v>329</v>
      </c>
      <c r="F192" s="48">
        <v>150000</v>
      </c>
      <c r="G192" s="49">
        <v>150000</v>
      </c>
      <c r="H192" s="49">
        <v>112500</v>
      </c>
      <c r="I192" s="49">
        <v>75000</v>
      </c>
    </row>
    <row r="193" spans="1:9" ht="16">
      <c r="A193" t="s">
        <v>134</v>
      </c>
      <c r="B193" s="44" t="s">
        <v>15</v>
      </c>
      <c r="C193" t="s">
        <v>41</v>
      </c>
      <c r="D193" t="s">
        <v>326</v>
      </c>
      <c r="E193" t="s">
        <v>110</v>
      </c>
      <c r="F193" s="48">
        <v>180000</v>
      </c>
      <c r="G193" s="49">
        <v>180000</v>
      </c>
      <c r="H193" s="49">
        <v>135000</v>
      </c>
      <c r="I193" s="49">
        <v>90000</v>
      </c>
    </row>
    <row r="194" spans="1:9" ht="16">
      <c r="A194" t="s">
        <v>134</v>
      </c>
      <c r="B194" s="44" t="s">
        <v>15</v>
      </c>
      <c r="C194" t="s">
        <v>41</v>
      </c>
      <c r="D194" t="s">
        <v>326</v>
      </c>
      <c r="E194" t="s">
        <v>330</v>
      </c>
      <c r="F194" s="48">
        <v>150000</v>
      </c>
      <c r="G194" s="49">
        <v>150000</v>
      </c>
      <c r="H194" s="49">
        <v>112500</v>
      </c>
      <c r="I194" s="49">
        <v>75000</v>
      </c>
    </row>
    <row r="195" spans="1:9" ht="16">
      <c r="A195" t="s">
        <v>134</v>
      </c>
      <c r="B195" s="44" t="s">
        <v>15</v>
      </c>
      <c r="C195" t="s">
        <v>41</v>
      </c>
      <c r="D195" t="s">
        <v>326</v>
      </c>
      <c r="E195" t="s">
        <v>331</v>
      </c>
      <c r="F195" s="48">
        <v>180000</v>
      </c>
      <c r="G195" s="49">
        <v>180000</v>
      </c>
      <c r="H195" s="49">
        <v>135000</v>
      </c>
      <c r="I195" s="49">
        <v>90000</v>
      </c>
    </row>
    <row r="196" spans="1:9" ht="16">
      <c r="A196" t="s">
        <v>134</v>
      </c>
      <c r="B196" s="44" t="s">
        <v>15</v>
      </c>
      <c r="C196" t="s">
        <v>41</v>
      </c>
      <c r="D196" t="s">
        <v>332</v>
      </c>
      <c r="E196" t="s">
        <v>333</v>
      </c>
      <c r="F196" s="48">
        <v>180000</v>
      </c>
      <c r="G196" s="49">
        <v>180000</v>
      </c>
      <c r="H196" s="49">
        <v>135000</v>
      </c>
      <c r="I196" s="49">
        <v>90000</v>
      </c>
    </row>
    <row r="197" spans="1:9" ht="16">
      <c r="A197" t="s">
        <v>134</v>
      </c>
      <c r="B197" s="44" t="s">
        <v>15</v>
      </c>
      <c r="C197" t="s">
        <v>41</v>
      </c>
      <c r="D197" t="s">
        <v>332</v>
      </c>
      <c r="E197" t="s">
        <v>334</v>
      </c>
      <c r="F197" s="48">
        <v>150000</v>
      </c>
      <c r="G197" s="49">
        <v>150000</v>
      </c>
      <c r="H197" s="49">
        <v>112500</v>
      </c>
      <c r="I197" s="49">
        <v>75000</v>
      </c>
    </row>
    <row r="198" spans="1:9" ht="16">
      <c r="A198" t="s">
        <v>134</v>
      </c>
      <c r="B198" s="44" t="s">
        <v>15</v>
      </c>
      <c r="C198" t="s">
        <v>41</v>
      </c>
      <c r="D198" t="s">
        <v>332</v>
      </c>
      <c r="E198" t="s">
        <v>335</v>
      </c>
      <c r="F198" s="48">
        <v>150000</v>
      </c>
      <c r="G198" s="49">
        <v>150000</v>
      </c>
      <c r="H198" s="49">
        <v>112500</v>
      </c>
      <c r="I198" s="49">
        <v>75000</v>
      </c>
    </row>
    <row r="199" spans="1:9" ht="16">
      <c r="A199" t="s">
        <v>134</v>
      </c>
      <c r="B199" s="44" t="s">
        <v>15</v>
      </c>
      <c r="C199" t="s">
        <v>41</v>
      </c>
      <c r="D199" t="s">
        <v>332</v>
      </c>
      <c r="E199" t="s">
        <v>112</v>
      </c>
      <c r="F199" s="48">
        <v>180000</v>
      </c>
      <c r="G199" s="49">
        <v>180000</v>
      </c>
      <c r="H199" s="49">
        <v>135000</v>
      </c>
      <c r="I199" s="49">
        <v>90000</v>
      </c>
    </row>
    <row r="200" spans="1:9" ht="16">
      <c r="A200" t="s">
        <v>134</v>
      </c>
      <c r="B200" s="44" t="s">
        <v>15</v>
      </c>
      <c r="C200" t="s">
        <v>41</v>
      </c>
      <c r="D200" t="s">
        <v>332</v>
      </c>
      <c r="E200" t="s">
        <v>336</v>
      </c>
      <c r="F200" s="48">
        <v>120000</v>
      </c>
      <c r="G200" s="49">
        <v>120000</v>
      </c>
      <c r="H200" s="49">
        <v>90000</v>
      </c>
      <c r="I200" s="49">
        <v>60000</v>
      </c>
    </row>
    <row r="201" spans="1:9" ht="16">
      <c r="A201" t="s">
        <v>134</v>
      </c>
      <c r="B201" s="44" t="s">
        <v>15</v>
      </c>
      <c r="C201" t="s">
        <v>41</v>
      </c>
      <c r="D201" t="s">
        <v>332</v>
      </c>
      <c r="E201" t="s">
        <v>114</v>
      </c>
      <c r="F201" s="48">
        <v>180000</v>
      </c>
      <c r="G201" s="49">
        <v>180000</v>
      </c>
      <c r="H201" s="49">
        <v>135000</v>
      </c>
      <c r="I201" s="49">
        <v>90000</v>
      </c>
    </row>
    <row r="202" spans="1:9" ht="16">
      <c r="A202" t="s">
        <v>134</v>
      </c>
      <c r="B202" s="44" t="s">
        <v>15</v>
      </c>
      <c r="C202" t="s">
        <v>41</v>
      </c>
      <c r="D202" t="s">
        <v>332</v>
      </c>
      <c r="E202" t="s">
        <v>337</v>
      </c>
      <c r="F202" s="48">
        <v>180000</v>
      </c>
      <c r="G202" s="49">
        <v>180000</v>
      </c>
      <c r="H202" s="49">
        <v>135000</v>
      </c>
      <c r="I202" s="49">
        <v>90000</v>
      </c>
    </row>
    <row r="203" spans="1:9" ht="16">
      <c r="A203" t="s">
        <v>134</v>
      </c>
      <c r="B203" s="44" t="s">
        <v>15</v>
      </c>
      <c r="C203" t="s">
        <v>41</v>
      </c>
      <c r="D203" t="s">
        <v>332</v>
      </c>
      <c r="E203" t="s">
        <v>338</v>
      </c>
      <c r="F203" s="48">
        <v>150000</v>
      </c>
      <c r="G203" s="49">
        <v>150000</v>
      </c>
      <c r="H203" s="49">
        <v>112500</v>
      </c>
      <c r="I203" s="49">
        <v>75000</v>
      </c>
    </row>
    <row r="204" spans="1:9" ht="16">
      <c r="A204" t="s">
        <v>134</v>
      </c>
      <c r="B204" s="44" t="s">
        <v>10</v>
      </c>
      <c r="C204" t="s">
        <v>30</v>
      </c>
      <c r="D204" t="s">
        <v>339</v>
      </c>
      <c r="E204" t="s">
        <v>340</v>
      </c>
      <c r="F204" s="48">
        <v>120000</v>
      </c>
      <c r="G204" s="49">
        <v>120000</v>
      </c>
      <c r="H204" s="49">
        <v>90000</v>
      </c>
      <c r="I204" s="49">
        <v>60000</v>
      </c>
    </row>
    <row r="205" spans="1:9" ht="16">
      <c r="A205" t="s">
        <v>134</v>
      </c>
      <c r="B205" s="44" t="s">
        <v>10</v>
      </c>
      <c r="C205" t="s">
        <v>30</v>
      </c>
      <c r="D205" t="s">
        <v>339</v>
      </c>
      <c r="E205" t="s">
        <v>341</v>
      </c>
      <c r="F205" s="48">
        <v>120000</v>
      </c>
      <c r="G205" s="49">
        <v>120000</v>
      </c>
      <c r="H205" s="49">
        <v>90000</v>
      </c>
      <c r="I205" s="49">
        <v>60000</v>
      </c>
    </row>
    <row r="206" spans="1:9" ht="16">
      <c r="A206" t="s">
        <v>134</v>
      </c>
      <c r="B206" s="44" t="s">
        <v>10</v>
      </c>
      <c r="C206" t="s">
        <v>30</v>
      </c>
      <c r="D206" t="s">
        <v>339</v>
      </c>
      <c r="E206" t="s">
        <v>342</v>
      </c>
      <c r="F206" s="48">
        <v>180000</v>
      </c>
      <c r="G206" s="49">
        <v>180000</v>
      </c>
      <c r="H206" s="49">
        <v>135000</v>
      </c>
      <c r="I206" s="49">
        <v>90000</v>
      </c>
    </row>
    <row r="207" spans="1:9" ht="16">
      <c r="A207" t="s">
        <v>134</v>
      </c>
      <c r="B207" s="44" t="s">
        <v>10</v>
      </c>
      <c r="C207" t="s">
        <v>30</v>
      </c>
      <c r="D207" t="s">
        <v>339</v>
      </c>
      <c r="E207" t="s">
        <v>343</v>
      </c>
      <c r="F207" s="48">
        <v>120000</v>
      </c>
      <c r="G207" s="49">
        <v>120000</v>
      </c>
      <c r="H207" s="49">
        <v>90000</v>
      </c>
      <c r="I207" s="49">
        <v>60000</v>
      </c>
    </row>
    <row r="208" spans="1:9" ht="16">
      <c r="A208" t="s">
        <v>134</v>
      </c>
      <c r="B208" s="44" t="s">
        <v>10</v>
      </c>
      <c r="C208" t="s">
        <v>30</v>
      </c>
      <c r="D208" t="s">
        <v>339</v>
      </c>
      <c r="E208" t="s">
        <v>344</v>
      </c>
      <c r="F208" s="48">
        <v>120000</v>
      </c>
      <c r="G208" s="49">
        <v>120000</v>
      </c>
      <c r="H208" s="49">
        <v>90000</v>
      </c>
      <c r="I208" s="49">
        <v>60000</v>
      </c>
    </row>
    <row r="209" spans="1:9" ht="16">
      <c r="A209" t="s">
        <v>134</v>
      </c>
      <c r="B209" s="44" t="s">
        <v>10</v>
      </c>
      <c r="C209" t="s">
        <v>30</v>
      </c>
      <c r="D209" t="s">
        <v>339</v>
      </c>
      <c r="E209" t="s">
        <v>345</v>
      </c>
      <c r="F209" s="48">
        <v>120000</v>
      </c>
      <c r="G209" s="49">
        <v>120000</v>
      </c>
      <c r="H209" s="49">
        <v>90000</v>
      </c>
      <c r="I209" s="49">
        <v>60000</v>
      </c>
    </row>
    <row r="210" spans="1:9" ht="16">
      <c r="A210" t="s">
        <v>134</v>
      </c>
      <c r="B210" s="44" t="s">
        <v>10</v>
      </c>
      <c r="C210" t="s">
        <v>30</v>
      </c>
      <c r="D210" t="s">
        <v>339</v>
      </c>
      <c r="E210" t="s">
        <v>346</v>
      </c>
      <c r="F210" s="48">
        <v>150000</v>
      </c>
      <c r="G210" s="49">
        <v>150000</v>
      </c>
      <c r="H210" s="49">
        <v>112500</v>
      </c>
      <c r="I210" s="49">
        <v>75000</v>
      </c>
    </row>
    <row r="211" spans="1:9" ht="16">
      <c r="A211" t="s">
        <v>134</v>
      </c>
      <c r="B211" s="44" t="s">
        <v>10</v>
      </c>
      <c r="C211" t="s">
        <v>30</v>
      </c>
      <c r="D211" t="s">
        <v>339</v>
      </c>
      <c r="E211" t="s">
        <v>347</v>
      </c>
      <c r="F211" s="48">
        <v>120000</v>
      </c>
      <c r="G211" s="49">
        <v>120000</v>
      </c>
      <c r="H211" s="49">
        <v>90000</v>
      </c>
      <c r="I211" s="49">
        <v>60000</v>
      </c>
    </row>
    <row r="212" spans="1:9" ht="16">
      <c r="A212" t="s">
        <v>134</v>
      </c>
      <c r="B212" s="44" t="s">
        <v>10</v>
      </c>
      <c r="C212" t="s">
        <v>30</v>
      </c>
      <c r="D212" t="s">
        <v>339</v>
      </c>
      <c r="E212" t="s">
        <v>348</v>
      </c>
      <c r="F212" s="48">
        <v>150000</v>
      </c>
      <c r="G212" s="49">
        <v>150000</v>
      </c>
      <c r="H212" s="49">
        <v>112500</v>
      </c>
      <c r="I212" s="49">
        <v>75000</v>
      </c>
    </row>
    <row r="213" spans="1:9" ht="16">
      <c r="A213" t="s">
        <v>134</v>
      </c>
      <c r="B213" s="44" t="s">
        <v>10</v>
      </c>
      <c r="C213" t="s">
        <v>30</v>
      </c>
      <c r="D213" t="s">
        <v>349</v>
      </c>
      <c r="E213" t="s">
        <v>350</v>
      </c>
      <c r="F213" s="48">
        <v>150000</v>
      </c>
      <c r="G213" s="49">
        <v>150000</v>
      </c>
      <c r="H213" s="49">
        <v>112500</v>
      </c>
      <c r="I213" s="49">
        <v>75000</v>
      </c>
    </row>
    <row r="214" spans="1:9" ht="16">
      <c r="A214" t="s">
        <v>134</v>
      </c>
      <c r="B214" s="44" t="s">
        <v>10</v>
      </c>
      <c r="C214" t="s">
        <v>30</v>
      </c>
      <c r="D214" t="s">
        <v>349</v>
      </c>
      <c r="E214" t="s">
        <v>351</v>
      </c>
      <c r="F214" s="48">
        <v>180000</v>
      </c>
      <c r="G214" s="49">
        <v>180000</v>
      </c>
      <c r="H214" s="49">
        <v>135000</v>
      </c>
      <c r="I214" s="49">
        <v>90000</v>
      </c>
    </row>
    <row r="215" spans="1:9" ht="16">
      <c r="A215" t="s">
        <v>134</v>
      </c>
      <c r="B215" s="44" t="s">
        <v>10</v>
      </c>
      <c r="C215" t="s">
        <v>30</v>
      </c>
      <c r="D215" t="s">
        <v>349</v>
      </c>
      <c r="E215" t="s">
        <v>352</v>
      </c>
      <c r="F215" s="48">
        <v>150000</v>
      </c>
      <c r="G215" s="49">
        <v>150000</v>
      </c>
      <c r="H215" s="49">
        <v>112500</v>
      </c>
      <c r="I215" s="49">
        <v>75000</v>
      </c>
    </row>
    <row r="216" spans="1:9" ht="16">
      <c r="A216" t="s">
        <v>134</v>
      </c>
      <c r="B216" s="44" t="s">
        <v>10</v>
      </c>
      <c r="C216" t="s">
        <v>30</v>
      </c>
      <c r="D216" t="s">
        <v>349</v>
      </c>
      <c r="E216" t="s">
        <v>353</v>
      </c>
      <c r="F216" s="48">
        <v>180000</v>
      </c>
      <c r="G216" s="49">
        <v>180000</v>
      </c>
      <c r="H216" s="49">
        <v>135000</v>
      </c>
      <c r="I216" s="49">
        <v>90000</v>
      </c>
    </row>
    <row r="217" spans="1:9" ht="16">
      <c r="A217" t="s">
        <v>134</v>
      </c>
      <c r="B217" s="44" t="s">
        <v>10</v>
      </c>
      <c r="C217" t="s">
        <v>30</v>
      </c>
      <c r="D217" t="s">
        <v>349</v>
      </c>
      <c r="E217" t="s">
        <v>71</v>
      </c>
      <c r="F217" s="48">
        <v>180000</v>
      </c>
      <c r="G217" s="49">
        <v>180000</v>
      </c>
      <c r="H217" s="49">
        <v>135000</v>
      </c>
      <c r="I217" s="49">
        <v>90000</v>
      </c>
    </row>
    <row r="218" spans="1:9" ht="16">
      <c r="A218" t="s">
        <v>134</v>
      </c>
      <c r="B218" s="44" t="s">
        <v>10</v>
      </c>
      <c r="C218" t="s">
        <v>30</v>
      </c>
      <c r="D218" t="s">
        <v>349</v>
      </c>
      <c r="E218" t="s">
        <v>354</v>
      </c>
      <c r="F218" s="48">
        <v>120000</v>
      </c>
      <c r="G218" s="49">
        <v>120000</v>
      </c>
      <c r="H218" s="49">
        <v>90000</v>
      </c>
      <c r="I218" s="49">
        <v>60000</v>
      </c>
    </row>
    <row r="219" spans="1:9" ht="16">
      <c r="A219" t="s">
        <v>134</v>
      </c>
      <c r="B219" s="44" t="s">
        <v>10</v>
      </c>
      <c r="C219" t="s">
        <v>30</v>
      </c>
      <c r="D219" t="s">
        <v>349</v>
      </c>
      <c r="E219" t="s">
        <v>355</v>
      </c>
      <c r="F219" s="48">
        <v>150000</v>
      </c>
      <c r="G219" s="49">
        <v>150000</v>
      </c>
      <c r="H219" s="49">
        <v>112500</v>
      </c>
      <c r="I219" s="49">
        <v>75000</v>
      </c>
    </row>
    <row r="220" spans="1:9" ht="16">
      <c r="A220" t="s">
        <v>134</v>
      </c>
      <c r="B220" s="44" t="s">
        <v>10</v>
      </c>
      <c r="C220" t="s">
        <v>30</v>
      </c>
      <c r="D220" t="s">
        <v>349</v>
      </c>
      <c r="E220" t="s">
        <v>356</v>
      </c>
      <c r="F220" s="48">
        <v>180000</v>
      </c>
      <c r="G220" s="49">
        <v>180000</v>
      </c>
      <c r="H220" s="49">
        <v>135000</v>
      </c>
      <c r="I220" s="49">
        <v>90000</v>
      </c>
    </row>
    <row r="221" spans="1:9" ht="16">
      <c r="A221" t="s">
        <v>134</v>
      </c>
      <c r="B221" s="44" t="s">
        <v>10</v>
      </c>
      <c r="C221" t="s">
        <v>30</v>
      </c>
      <c r="D221" t="s">
        <v>349</v>
      </c>
      <c r="E221" t="s">
        <v>357</v>
      </c>
      <c r="F221" s="48">
        <v>150000</v>
      </c>
      <c r="G221" s="49">
        <v>150000</v>
      </c>
      <c r="H221" s="49">
        <v>112500</v>
      </c>
      <c r="I221" s="49">
        <v>75000</v>
      </c>
    </row>
    <row r="222" spans="1:9" ht="16">
      <c r="A222" t="s">
        <v>134</v>
      </c>
      <c r="B222" s="44" t="s">
        <v>10</v>
      </c>
      <c r="C222" t="s">
        <v>30</v>
      </c>
      <c r="D222" t="s">
        <v>349</v>
      </c>
      <c r="E222" t="s">
        <v>358</v>
      </c>
      <c r="F222" s="48">
        <v>180000</v>
      </c>
      <c r="G222" s="49">
        <v>180000</v>
      </c>
      <c r="H222" s="49">
        <v>135000</v>
      </c>
      <c r="I222" s="49">
        <v>90000</v>
      </c>
    </row>
    <row r="223" spans="1:9" ht="16">
      <c r="A223" t="s">
        <v>134</v>
      </c>
      <c r="B223" s="44" t="s">
        <v>175</v>
      </c>
      <c r="C223" t="s">
        <v>32</v>
      </c>
      <c r="D223" t="s">
        <v>359</v>
      </c>
      <c r="E223" t="s">
        <v>360</v>
      </c>
      <c r="F223" s="48">
        <v>120000</v>
      </c>
      <c r="G223" s="49">
        <v>120000</v>
      </c>
      <c r="H223" s="49">
        <v>90000</v>
      </c>
      <c r="I223" s="49">
        <v>60000</v>
      </c>
    </row>
    <row r="224" spans="1:9" ht="16">
      <c r="A224" t="s">
        <v>134</v>
      </c>
      <c r="B224" s="44" t="s">
        <v>175</v>
      </c>
      <c r="C224" t="s">
        <v>32</v>
      </c>
      <c r="D224" t="s">
        <v>359</v>
      </c>
      <c r="E224" t="s">
        <v>361</v>
      </c>
      <c r="F224" s="48">
        <v>180000</v>
      </c>
      <c r="G224" s="49">
        <v>180000</v>
      </c>
      <c r="H224" s="49">
        <v>135000</v>
      </c>
      <c r="I224" s="49">
        <v>90000</v>
      </c>
    </row>
    <row r="225" spans="1:9" ht="16">
      <c r="A225" t="s">
        <v>134</v>
      </c>
      <c r="B225" s="44" t="s">
        <v>175</v>
      </c>
      <c r="C225" t="s">
        <v>32</v>
      </c>
      <c r="D225" t="s">
        <v>359</v>
      </c>
      <c r="E225" t="s">
        <v>362</v>
      </c>
      <c r="F225" s="48">
        <v>180000</v>
      </c>
      <c r="G225" s="49">
        <v>180000</v>
      </c>
      <c r="H225" s="49">
        <v>135000</v>
      </c>
      <c r="I225" s="49">
        <v>90000</v>
      </c>
    </row>
    <row r="226" spans="1:9" ht="16">
      <c r="A226" t="s">
        <v>134</v>
      </c>
      <c r="B226" s="44" t="s">
        <v>175</v>
      </c>
      <c r="C226" t="s">
        <v>32</v>
      </c>
      <c r="D226" t="s">
        <v>359</v>
      </c>
      <c r="E226" t="s">
        <v>363</v>
      </c>
      <c r="F226" s="48">
        <v>150000</v>
      </c>
      <c r="G226" s="49">
        <v>150000</v>
      </c>
      <c r="H226" s="49">
        <v>112500</v>
      </c>
      <c r="I226" s="49">
        <v>75000</v>
      </c>
    </row>
    <row r="227" spans="1:9" ht="16">
      <c r="A227" t="s">
        <v>134</v>
      </c>
      <c r="B227" s="44" t="s">
        <v>175</v>
      </c>
      <c r="C227" t="s">
        <v>32</v>
      </c>
      <c r="D227" t="s">
        <v>359</v>
      </c>
      <c r="E227" t="s">
        <v>364</v>
      </c>
      <c r="F227" s="48">
        <v>180000</v>
      </c>
      <c r="G227" s="49">
        <v>180000</v>
      </c>
      <c r="H227" s="49">
        <v>135000</v>
      </c>
      <c r="I227" s="49">
        <v>90000</v>
      </c>
    </row>
    <row r="228" spans="1:9" ht="16">
      <c r="A228" t="s">
        <v>134</v>
      </c>
      <c r="B228" s="44" t="s">
        <v>175</v>
      </c>
      <c r="C228" t="s">
        <v>32</v>
      </c>
      <c r="D228" t="s">
        <v>359</v>
      </c>
      <c r="E228" t="s">
        <v>365</v>
      </c>
      <c r="F228" s="48">
        <v>180000</v>
      </c>
      <c r="G228" s="49">
        <v>180000</v>
      </c>
      <c r="H228" s="49">
        <v>135000</v>
      </c>
      <c r="I228" s="49">
        <v>90000</v>
      </c>
    </row>
    <row r="229" spans="1:9" ht="16">
      <c r="A229" t="s">
        <v>134</v>
      </c>
      <c r="B229" s="44" t="s">
        <v>175</v>
      </c>
      <c r="C229" t="s">
        <v>32</v>
      </c>
      <c r="D229" t="s">
        <v>359</v>
      </c>
      <c r="E229" t="s">
        <v>366</v>
      </c>
      <c r="F229" s="48">
        <v>180000</v>
      </c>
      <c r="G229" s="49">
        <v>180000</v>
      </c>
      <c r="H229" s="49">
        <v>135000</v>
      </c>
      <c r="I229" s="49">
        <v>90000</v>
      </c>
    </row>
    <row r="230" spans="1:9" ht="16">
      <c r="A230" t="s">
        <v>134</v>
      </c>
      <c r="B230" s="44" t="s">
        <v>175</v>
      </c>
      <c r="C230" t="s">
        <v>32</v>
      </c>
      <c r="D230" t="s">
        <v>367</v>
      </c>
      <c r="E230" t="s">
        <v>368</v>
      </c>
      <c r="F230" s="48">
        <v>120000</v>
      </c>
      <c r="G230" s="49">
        <v>120000</v>
      </c>
      <c r="H230" s="49">
        <v>90000</v>
      </c>
      <c r="I230" s="49">
        <v>60000</v>
      </c>
    </row>
    <row r="231" spans="1:9" ht="16">
      <c r="A231" t="s">
        <v>134</v>
      </c>
      <c r="B231" s="44" t="s">
        <v>175</v>
      </c>
      <c r="C231" t="s">
        <v>32</v>
      </c>
      <c r="D231" t="s">
        <v>367</v>
      </c>
      <c r="E231" t="s">
        <v>369</v>
      </c>
      <c r="F231" s="48">
        <v>150000</v>
      </c>
      <c r="G231" s="49">
        <v>150000</v>
      </c>
      <c r="H231" s="49">
        <v>112500</v>
      </c>
      <c r="I231" s="49">
        <v>75000</v>
      </c>
    </row>
    <row r="232" spans="1:9" ht="16">
      <c r="A232" t="s">
        <v>134</v>
      </c>
      <c r="B232" s="44" t="s">
        <v>175</v>
      </c>
      <c r="C232" t="s">
        <v>32</v>
      </c>
      <c r="D232" t="s">
        <v>367</v>
      </c>
      <c r="E232" t="s">
        <v>370</v>
      </c>
      <c r="F232" s="48">
        <v>180000</v>
      </c>
      <c r="G232" s="49">
        <v>180000</v>
      </c>
      <c r="H232" s="49">
        <v>135000</v>
      </c>
      <c r="I232" s="49">
        <v>90000</v>
      </c>
    </row>
    <row r="233" spans="1:9" ht="16">
      <c r="A233" t="s">
        <v>134</v>
      </c>
      <c r="B233" s="44" t="s">
        <v>175</v>
      </c>
      <c r="C233" t="s">
        <v>32</v>
      </c>
      <c r="D233" t="s">
        <v>367</v>
      </c>
      <c r="E233" t="s">
        <v>371</v>
      </c>
      <c r="F233" s="48">
        <v>180000</v>
      </c>
      <c r="G233" s="49">
        <v>180000</v>
      </c>
      <c r="H233" s="49">
        <v>135000</v>
      </c>
      <c r="I233" s="49">
        <v>90000</v>
      </c>
    </row>
    <row r="234" spans="1:9" ht="16">
      <c r="A234" t="s">
        <v>134</v>
      </c>
      <c r="B234" s="44" t="s">
        <v>175</v>
      </c>
      <c r="C234" t="s">
        <v>32</v>
      </c>
      <c r="D234" t="s">
        <v>367</v>
      </c>
      <c r="E234" t="s">
        <v>372</v>
      </c>
      <c r="F234" s="48">
        <v>120000</v>
      </c>
      <c r="G234" s="49">
        <v>120000</v>
      </c>
      <c r="H234" s="49">
        <v>90000</v>
      </c>
      <c r="I234" s="49">
        <v>60000</v>
      </c>
    </row>
    <row r="235" spans="1:9" ht="16">
      <c r="A235" t="s">
        <v>134</v>
      </c>
      <c r="B235" s="44" t="s">
        <v>175</v>
      </c>
      <c r="C235" t="s">
        <v>32</v>
      </c>
      <c r="D235" t="s">
        <v>367</v>
      </c>
      <c r="E235" t="s">
        <v>373</v>
      </c>
      <c r="F235" s="48">
        <v>150000</v>
      </c>
      <c r="G235" s="49">
        <v>150000</v>
      </c>
      <c r="H235" s="49">
        <v>112500</v>
      </c>
      <c r="I235" s="49">
        <v>75000</v>
      </c>
    </row>
    <row r="236" spans="1:9" ht="16">
      <c r="A236" t="s">
        <v>134</v>
      </c>
      <c r="B236" s="44" t="s">
        <v>175</v>
      </c>
      <c r="C236" t="s">
        <v>32</v>
      </c>
      <c r="D236" t="s">
        <v>374</v>
      </c>
      <c r="E236" t="s">
        <v>375</v>
      </c>
      <c r="F236" s="48">
        <v>180000</v>
      </c>
      <c r="G236" s="49">
        <v>180000</v>
      </c>
      <c r="H236" s="49">
        <v>135000</v>
      </c>
      <c r="I236" s="49">
        <v>90000</v>
      </c>
    </row>
    <row r="237" spans="1:9" ht="16">
      <c r="A237" t="s">
        <v>134</v>
      </c>
      <c r="B237" s="44" t="s">
        <v>175</v>
      </c>
      <c r="C237" t="s">
        <v>32</v>
      </c>
      <c r="D237" t="s">
        <v>374</v>
      </c>
      <c r="E237" t="s">
        <v>376</v>
      </c>
      <c r="F237" s="48">
        <v>180000</v>
      </c>
      <c r="G237" s="49">
        <v>180000</v>
      </c>
      <c r="H237" s="49">
        <v>135000</v>
      </c>
      <c r="I237" s="49">
        <v>90000</v>
      </c>
    </row>
    <row r="238" spans="1:9" ht="16">
      <c r="A238" t="s">
        <v>134</v>
      </c>
      <c r="B238" s="44" t="s">
        <v>175</v>
      </c>
      <c r="C238" t="s">
        <v>32</v>
      </c>
      <c r="D238" t="s">
        <v>374</v>
      </c>
      <c r="E238" t="s">
        <v>377</v>
      </c>
      <c r="F238" s="48">
        <v>120000</v>
      </c>
      <c r="G238" s="49">
        <v>120000</v>
      </c>
      <c r="H238" s="49">
        <v>90000</v>
      </c>
      <c r="I238" s="49">
        <v>60000</v>
      </c>
    </row>
    <row r="239" spans="1:9" ht="16">
      <c r="A239" t="s">
        <v>134</v>
      </c>
      <c r="B239" s="44" t="s">
        <v>175</v>
      </c>
      <c r="C239" t="s">
        <v>32</v>
      </c>
      <c r="D239" t="s">
        <v>374</v>
      </c>
      <c r="E239" t="s">
        <v>378</v>
      </c>
      <c r="F239" s="48">
        <v>120000</v>
      </c>
      <c r="G239" s="49">
        <v>120000</v>
      </c>
      <c r="H239" s="49">
        <v>90000</v>
      </c>
      <c r="I239" s="49">
        <v>60000</v>
      </c>
    </row>
    <row r="240" spans="1:9" ht="16">
      <c r="A240" t="s">
        <v>134</v>
      </c>
      <c r="B240" s="44" t="s">
        <v>175</v>
      </c>
      <c r="C240" t="s">
        <v>32</v>
      </c>
      <c r="D240" t="s">
        <v>374</v>
      </c>
      <c r="E240" t="s">
        <v>379</v>
      </c>
      <c r="F240" s="48">
        <v>120000</v>
      </c>
      <c r="G240" s="49">
        <v>120000</v>
      </c>
      <c r="H240" s="49">
        <v>90000</v>
      </c>
      <c r="I240" s="49">
        <v>60000</v>
      </c>
    </row>
    <row r="241" spans="1:9" ht="16">
      <c r="A241" t="s">
        <v>134</v>
      </c>
      <c r="B241" s="44" t="s">
        <v>175</v>
      </c>
      <c r="C241" t="s">
        <v>32</v>
      </c>
      <c r="D241" t="s">
        <v>374</v>
      </c>
      <c r="E241" t="s">
        <v>380</v>
      </c>
      <c r="F241" s="48">
        <v>180000</v>
      </c>
      <c r="G241" s="49">
        <v>180000</v>
      </c>
      <c r="H241" s="49">
        <v>135000</v>
      </c>
      <c r="I241" s="49">
        <v>90000</v>
      </c>
    </row>
    <row r="242" spans="1:9" ht="16">
      <c r="A242" t="s">
        <v>134</v>
      </c>
      <c r="B242" s="44" t="s">
        <v>175</v>
      </c>
      <c r="C242" t="s">
        <v>32</v>
      </c>
      <c r="D242" t="s">
        <v>374</v>
      </c>
      <c r="E242" t="s">
        <v>381</v>
      </c>
      <c r="F242" s="48">
        <v>180000</v>
      </c>
      <c r="G242" s="49">
        <v>180000</v>
      </c>
      <c r="H242" s="49">
        <v>135000</v>
      </c>
      <c r="I242" s="49">
        <v>90000</v>
      </c>
    </row>
    <row r="243" spans="1:9" ht="16">
      <c r="A243" t="s">
        <v>134</v>
      </c>
      <c r="B243" s="44" t="s">
        <v>175</v>
      </c>
      <c r="C243" t="s">
        <v>32</v>
      </c>
      <c r="D243" t="s">
        <v>374</v>
      </c>
      <c r="E243" t="s">
        <v>382</v>
      </c>
      <c r="F243" s="48">
        <v>180000</v>
      </c>
      <c r="G243" s="49">
        <v>180000</v>
      </c>
      <c r="H243" s="49">
        <v>135000</v>
      </c>
      <c r="I243" s="49">
        <v>90000</v>
      </c>
    </row>
    <row r="244" spans="1:9" ht="16">
      <c r="A244" t="s">
        <v>134</v>
      </c>
      <c r="B244" s="44" t="s">
        <v>175</v>
      </c>
      <c r="C244" t="s">
        <v>32</v>
      </c>
      <c r="D244" t="s">
        <v>374</v>
      </c>
      <c r="E244" t="s">
        <v>383</v>
      </c>
      <c r="F244" s="48">
        <v>150000</v>
      </c>
      <c r="G244" s="49">
        <v>150000</v>
      </c>
      <c r="H244" s="49">
        <v>112500</v>
      </c>
      <c r="I244" s="49">
        <v>75000</v>
      </c>
    </row>
    <row r="245" spans="1:9" ht="16">
      <c r="A245" t="s">
        <v>134</v>
      </c>
      <c r="B245" s="44" t="s">
        <v>10</v>
      </c>
      <c r="C245" t="s">
        <v>35</v>
      </c>
      <c r="D245" t="s">
        <v>384</v>
      </c>
      <c r="E245" t="s">
        <v>385</v>
      </c>
      <c r="F245" s="48">
        <v>180000</v>
      </c>
      <c r="G245" s="49">
        <v>180000</v>
      </c>
      <c r="H245" s="49">
        <v>135000</v>
      </c>
      <c r="I245" s="49">
        <v>90000</v>
      </c>
    </row>
    <row r="246" spans="1:9" ht="16">
      <c r="A246" t="s">
        <v>134</v>
      </c>
      <c r="B246" s="44" t="s">
        <v>10</v>
      </c>
      <c r="C246" t="s">
        <v>35</v>
      </c>
      <c r="D246" t="s">
        <v>384</v>
      </c>
      <c r="E246" t="s">
        <v>386</v>
      </c>
      <c r="F246" s="48">
        <v>150000</v>
      </c>
      <c r="G246" s="49">
        <v>150000</v>
      </c>
      <c r="H246" s="49">
        <v>112500</v>
      </c>
      <c r="I246" s="49">
        <v>75000</v>
      </c>
    </row>
    <row r="247" spans="1:9" ht="16">
      <c r="A247" t="s">
        <v>134</v>
      </c>
      <c r="B247" s="44" t="s">
        <v>10</v>
      </c>
      <c r="C247" t="s">
        <v>35</v>
      </c>
      <c r="D247" t="s">
        <v>384</v>
      </c>
      <c r="E247" t="s">
        <v>387</v>
      </c>
      <c r="F247" s="48">
        <v>120000</v>
      </c>
      <c r="G247" s="49">
        <v>120000</v>
      </c>
      <c r="H247" s="49">
        <v>90000</v>
      </c>
      <c r="I247" s="49">
        <v>60000</v>
      </c>
    </row>
    <row r="248" spans="1:9" ht="16">
      <c r="A248" t="s">
        <v>134</v>
      </c>
      <c r="B248" s="44" t="s">
        <v>10</v>
      </c>
      <c r="C248" t="s">
        <v>35</v>
      </c>
      <c r="D248" t="s">
        <v>384</v>
      </c>
      <c r="E248" t="s">
        <v>388</v>
      </c>
      <c r="F248" s="48">
        <v>180000</v>
      </c>
      <c r="G248" s="49">
        <v>180000</v>
      </c>
      <c r="H248" s="49">
        <v>135000</v>
      </c>
      <c r="I248" s="49">
        <v>90000</v>
      </c>
    </row>
    <row r="249" spans="1:9" ht="16">
      <c r="A249" t="s">
        <v>134</v>
      </c>
      <c r="B249" s="44" t="s">
        <v>10</v>
      </c>
      <c r="C249" t="s">
        <v>35</v>
      </c>
      <c r="D249" t="s">
        <v>384</v>
      </c>
      <c r="E249" t="s">
        <v>389</v>
      </c>
      <c r="F249" s="48">
        <v>120000</v>
      </c>
      <c r="G249" s="49">
        <v>120000</v>
      </c>
      <c r="H249" s="49">
        <v>90000</v>
      </c>
      <c r="I249" s="49">
        <v>60000</v>
      </c>
    </row>
    <row r="250" spans="1:9" ht="16">
      <c r="A250" t="s">
        <v>134</v>
      </c>
      <c r="B250" s="44" t="s">
        <v>10</v>
      </c>
      <c r="C250" t="s">
        <v>35</v>
      </c>
      <c r="D250" t="s">
        <v>384</v>
      </c>
      <c r="E250" t="s">
        <v>390</v>
      </c>
      <c r="F250" s="48">
        <v>150000</v>
      </c>
      <c r="G250" s="49">
        <v>150000</v>
      </c>
      <c r="H250" s="49">
        <v>112500</v>
      </c>
      <c r="I250" s="49">
        <v>75000</v>
      </c>
    </row>
    <row r="251" spans="1:9" ht="16">
      <c r="A251" t="s">
        <v>134</v>
      </c>
      <c r="B251" s="44" t="s">
        <v>10</v>
      </c>
      <c r="C251" t="s">
        <v>35</v>
      </c>
      <c r="D251" t="s">
        <v>384</v>
      </c>
      <c r="E251" t="s">
        <v>74</v>
      </c>
      <c r="F251" s="48">
        <v>180000</v>
      </c>
      <c r="G251" s="49">
        <v>180000</v>
      </c>
      <c r="H251" s="49">
        <v>135000</v>
      </c>
      <c r="I251" s="49">
        <v>90000</v>
      </c>
    </row>
    <row r="252" spans="1:9" ht="16">
      <c r="A252" t="s">
        <v>134</v>
      </c>
      <c r="B252" s="44" t="s">
        <v>10</v>
      </c>
      <c r="C252" t="s">
        <v>35</v>
      </c>
      <c r="D252" t="s">
        <v>384</v>
      </c>
      <c r="E252" t="s">
        <v>391</v>
      </c>
      <c r="F252" s="48">
        <v>150000</v>
      </c>
      <c r="G252" s="49">
        <v>150000</v>
      </c>
      <c r="H252" s="49">
        <v>112500</v>
      </c>
      <c r="I252" s="49">
        <v>75000</v>
      </c>
    </row>
    <row r="253" spans="1:9" ht="16">
      <c r="A253" t="s">
        <v>134</v>
      </c>
      <c r="B253" s="44" t="s">
        <v>10</v>
      </c>
      <c r="C253" t="s">
        <v>35</v>
      </c>
      <c r="D253" t="s">
        <v>384</v>
      </c>
      <c r="E253" t="s">
        <v>392</v>
      </c>
      <c r="F253" s="48">
        <v>150000</v>
      </c>
      <c r="G253" s="49">
        <v>150000</v>
      </c>
      <c r="H253" s="49">
        <v>112500</v>
      </c>
      <c r="I253" s="49">
        <v>75000</v>
      </c>
    </row>
    <row r="254" spans="1:9" ht="16">
      <c r="A254" t="s">
        <v>134</v>
      </c>
      <c r="B254" s="44" t="s">
        <v>10</v>
      </c>
      <c r="C254" t="s">
        <v>35</v>
      </c>
      <c r="D254" t="s">
        <v>384</v>
      </c>
      <c r="E254" t="s">
        <v>393</v>
      </c>
      <c r="F254" s="48">
        <v>150000</v>
      </c>
      <c r="G254" s="49">
        <v>150000</v>
      </c>
      <c r="H254" s="49">
        <v>112500</v>
      </c>
      <c r="I254" s="49">
        <v>75000</v>
      </c>
    </row>
    <row r="255" spans="1:9" ht="16">
      <c r="A255" t="s">
        <v>134</v>
      </c>
      <c r="B255" s="44" t="s">
        <v>10</v>
      </c>
      <c r="C255" t="s">
        <v>35</v>
      </c>
      <c r="D255" t="s">
        <v>394</v>
      </c>
      <c r="E255" t="s">
        <v>395</v>
      </c>
      <c r="F255" s="48">
        <v>180000</v>
      </c>
      <c r="G255" s="49">
        <v>180000</v>
      </c>
      <c r="H255" s="49">
        <v>135000</v>
      </c>
      <c r="I255" s="49">
        <v>90000</v>
      </c>
    </row>
    <row r="256" spans="1:9" ht="16">
      <c r="A256" t="s">
        <v>134</v>
      </c>
      <c r="B256" s="44" t="s">
        <v>10</v>
      </c>
      <c r="C256" t="s">
        <v>35</v>
      </c>
      <c r="D256" t="s">
        <v>394</v>
      </c>
      <c r="E256" t="s">
        <v>396</v>
      </c>
      <c r="F256" s="48">
        <v>180000</v>
      </c>
      <c r="G256" s="49">
        <v>180000</v>
      </c>
      <c r="H256" s="49">
        <v>135000</v>
      </c>
      <c r="I256" s="49">
        <v>90000</v>
      </c>
    </row>
    <row r="257" spans="1:9" ht="16">
      <c r="A257" t="s">
        <v>134</v>
      </c>
      <c r="B257" s="44" t="s">
        <v>10</v>
      </c>
      <c r="C257" t="s">
        <v>35</v>
      </c>
      <c r="D257" t="s">
        <v>394</v>
      </c>
      <c r="E257" t="s">
        <v>397</v>
      </c>
      <c r="F257" s="48">
        <v>150000</v>
      </c>
      <c r="G257" s="49">
        <v>150000</v>
      </c>
      <c r="H257" s="49">
        <v>112500</v>
      </c>
      <c r="I257" s="49">
        <v>75000</v>
      </c>
    </row>
    <row r="258" spans="1:9" ht="16">
      <c r="A258" t="s">
        <v>134</v>
      </c>
      <c r="B258" s="44" t="s">
        <v>10</v>
      </c>
      <c r="C258" t="s">
        <v>35</v>
      </c>
      <c r="D258" t="s">
        <v>394</v>
      </c>
      <c r="E258" t="s">
        <v>398</v>
      </c>
      <c r="F258" s="48">
        <v>150000</v>
      </c>
      <c r="G258" s="49">
        <v>150000</v>
      </c>
      <c r="H258" s="49">
        <v>112500</v>
      </c>
      <c r="I258" s="49">
        <v>75000</v>
      </c>
    </row>
    <row r="259" spans="1:9" ht="16">
      <c r="A259" t="s">
        <v>134</v>
      </c>
      <c r="B259" s="44" t="s">
        <v>10</v>
      </c>
      <c r="C259" t="s">
        <v>35</v>
      </c>
      <c r="D259" t="s">
        <v>394</v>
      </c>
      <c r="E259" t="s">
        <v>399</v>
      </c>
      <c r="F259" s="48">
        <v>150000</v>
      </c>
      <c r="G259" s="49">
        <v>150000</v>
      </c>
      <c r="H259" s="49">
        <v>112500</v>
      </c>
      <c r="I259" s="49">
        <v>75000</v>
      </c>
    </row>
    <row r="260" spans="1:9" ht="16">
      <c r="A260" t="s">
        <v>134</v>
      </c>
      <c r="B260" s="44" t="s">
        <v>10</v>
      </c>
      <c r="C260" t="s">
        <v>35</v>
      </c>
      <c r="D260" t="s">
        <v>394</v>
      </c>
      <c r="E260" t="s">
        <v>400</v>
      </c>
      <c r="F260" s="48">
        <v>150000</v>
      </c>
      <c r="G260" s="49">
        <v>150000</v>
      </c>
      <c r="H260" s="49">
        <v>112500</v>
      </c>
      <c r="I260" s="49">
        <v>75000</v>
      </c>
    </row>
    <row r="261" spans="1:9" ht="16">
      <c r="A261" t="s">
        <v>134</v>
      </c>
      <c r="B261" s="44" t="s">
        <v>10</v>
      </c>
      <c r="C261" t="s">
        <v>35</v>
      </c>
      <c r="D261" t="s">
        <v>401</v>
      </c>
      <c r="E261" t="s">
        <v>402</v>
      </c>
      <c r="F261" s="48">
        <v>150000</v>
      </c>
      <c r="G261" s="49">
        <v>150000</v>
      </c>
      <c r="H261" s="49">
        <v>112500</v>
      </c>
      <c r="I261" s="49">
        <v>75000</v>
      </c>
    </row>
    <row r="262" spans="1:9" ht="16">
      <c r="A262" t="s">
        <v>134</v>
      </c>
      <c r="B262" s="44" t="s">
        <v>10</v>
      </c>
      <c r="C262" t="s">
        <v>35</v>
      </c>
      <c r="D262" t="s">
        <v>401</v>
      </c>
      <c r="E262" t="s">
        <v>403</v>
      </c>
      <c r="F262" s="48">
        <v>150000</v>
      </c>
      <c r="G262" s="49">
        <v>150000</v>
      </c>
      <c r="H262" s="49">
        <v>112500</v>
      </c>
      <c r="I262" s="49">
        <v>75000</v>
      </c>
    </row>
    <row r="263" spans="1:9" ht="16">
      <c r="A263" t="s">
        <v>134</v>
      </c>
      <c r="B263" s="44" t="s">
        <v>10</v>
      </c>
      <c r="C263" t="s">
        <v>35</v>
      </c>
      <c r="D263" t="s">
        <v>401</v>
      </c>
      <c r="E263" t="s">
        <v>404</v>
      </c>
      <c r="F263" s="48">
        <v>150000</v>
      </c>
      <c r="G263" s="49">
        <v>150000</v>
      </c>
      <c r="H263" s="49">
        <v>112500</v>
      </c>
      <c r="I263" s="49">
        <v>75000</v>
      </c>
    </row>
    <row r="264" spans="1:9" ht="16">
      <c r="A264" t="s">
        <v>134</v>
      </c>
      <c r="B264" s="44" t="s">
        <v>10</v>
      </c>
      <c r="C264" t="s">
        <v>35</v>
      </c>
      <c r="D264" t="s">
        <v>401</v>
      </c>
      <c r="E264" t="s">
        <v>405</v>
      </c>
      <c r="F264" s="48">
        <v>150000</v>
      </c>
      <c r="G264" s="49">
        <v>150000</v>
      </c>
      <c r="H264" s="49">
        <v>112500</v>
      </c>
      <c r="I264" s="49">
        <v>75000</v>
      </c>
    </row>
    <row r="265" spans="1:9" ht="16">
      <c r="A265" t="s">
        <v>134</v>
      </c>
      <c r="B265" s="44" t="s">
        <v>10</v>
      </c>
      <c r="C265" t="s">
        <v>35</v>
      </c>
      <c r="D265" t="s">
        <v>401</v>
      </c>
      <c r="E265" t="s">
        <v>406</v>
      </c>
      <c r="F265" s="48">
        <v>150000</v>
      </c>
      <c r="G265" s="49">
        <v>150000</v>
      </c>
      <c r="H265" s="49">
        <v>112500</v>
      </c>
      <c r="I265" s="49">
        <v>75000</v>
      </c>
    </row>
    <row r="266" spans="1:9" ht="16">
      <c r="A266" t="s">
        <v>134</v>
      </c>
      <c r="B266" s="44" t="s">
        <v>10</v>
      </c>
      <c r="C266" t="s">
        <v>35</v>
      </c>
      <c r="D266" t="s">
        <v>401</v>
      </c>
      <c r="E266" t="s">
        <v>407</v>
      </c>
      <c r="F266" s="48">
        <v>120000</v>
      </c>
      <c r="G266" s="49">
        <v>120000</v>
      </c>
      <c r="H266" s="49">
        <v>90000</v>
      </c>
      <c r="I266" s="49">
        <v>60000</v>
      </c>
    </row>
    <row r="267" spans="1:9" ht="16">
      <c r="A267" t="s">
        <v>134</v>
      </c>
      <c r="B267" s="44" t="s">
        <v>10</v>
      </c>
      <c r="C267" t="s">
        <v>35</v>
      </c>
      <c r="D267" t="s">
        <v>408</v>
      </c>
      <c r="E267" t="s">
        <v>409</v>
      </c>
      <c r="F267" s="48">
        <v>150000</v>
      </c>
      <c r="G267" s="49">
        <v>150000</v>
      </c>
      <c r="H267" s="49">
        <v>112500</v>
      </c>
      <c r="I267" s="49">
        <v>75000</v>
      </c>
    </row>
    <row r="268" spans="1:9" ht="16">
      <c r="A268" t="s">
        <v>134</v>
      </c>
      <c r="B268" s="44" t="s">
        <v>10</v>
      </c>
      <c r="C268" t="s">
        <v>35</v>
      </c>
      <c r="D268" t="s">
        <v>408</v>
      </c>
      <c r="E268" t="s">
        <v>410</v>
      </c>
      <c r="F268" s="48">
        <v>180000</v>
      </c>
      <c r="G268" s="49">
        <v>180000</v>
      </c>
      <c r="H268" s="49">
        <v>135000</v>
      </c>
      <c r="I268" s="49">
        <v>90000</v>
      </c>
    </row>
    <row r="269" spans="1:9" ht="16">
      <c r="A269" t="s">
        <v>134</v>
      </c>
      <c r="B269" s="44" t="s">
        <v>10</v>
      </c>
      <c r="C269" t="s">
        <v>35</v>
      </c>
      <c r="D269" t="s">
        <v>408</v>
      </c>
      <c r="E269" t="s">
        <v>411</v>
      </c>
      <c r="F269" s="48">
        <v>150000</v>
      </c>
      <c r="G269" s="49">
        <v>150000</v>
      </c>
      <c r="H269" s="49">
        <v>112500</v>
      </c>
      <c r="I269" s="49">
        <v>75000</v>
      </c>
    </row>
    <row r="270" spans="1:9" ht="16">
      <c r="A270" t="s">
        <v>134</v>
      </c>
      <c r="B270" s="44" t="s">
        <v>10</v>
      </c>
      <c r="C270" t="s">
        <v>35</v>
      </c>
      <c r="D270" t="s">
        <v>408</v>
      </c>
      <c r="E270" t="s">
        <v>412</v>
      </c>
      <c r="F270" s="48">
        <v>150000</v>
      </c>
      <c r="G270" s="49">
        <v>150000</v>
      </c>
      <c r="H270" s="49">
        <v>112500</v>
      </c>
      <c r="I270" s="49">
        <v>75000</v>
      </c>
    </row>
    <row r="271" spans="1:9" ht="16">
      <c r="A271" t="s">
        <v>134</v>
      </c>
      <c r="B271" s="44" t="s">
        <v>10</v>
      </c>
      <c r="C271" t="s">
        <v>35</v>
      </c>
      <c r="D271" t="s">
        <v>408</v>
      </c>
      <c r="E271" t="s">
        <v>413</v>
      </c>
      <c r="F271" s="48">
        <v>150000</v>
      </c>
      <c r="G271" s="49">
        <v>150000</v>
      </c>
      <c r="H271" s="49">
        <v>112500</v>
      </c>
      <c r="I271" s="49">
        <v>75000</v>
      </c>
    </row>
    <row r="272" spans="1:9" ht="16">
      <c r="A272" t="s">
        <v>134</v>
      </c>
      <c r="B272" s="44" t="s">
        <v>10</v>
      </c>
      <c r="C272" t="s">
        <v>35</v>
      </c>
      <c r="D272" t="s">
        <v>408</v>
      </c>
      <c r="E272" t="s">
        <v>414</v>
      </c>
      <c r="F272" s="48">
        <v>150000</v>
      </c>
      <c r="G272" s="49">
        <v>150000</v>
      </c>
      <c r="H272" s="49">
        <v>112500</v>
      </c>
      <c r="I272" s="49">
        <v>75000</v>
      </c>
    </row>
    <row r="273" spans="1:9" ht="16">
      <c r="A273" t="s">
        <v>134</v>
      </c>
      <c r="B273" s="44" t="s">
        <v>10</v>
      </c>
      <c r="C273" t="s">
        <v>35</v>
      </c>
      <c r="D273" t="s">
        <v>408</v>
      </c>
      <c r="E273" t="s">
        <v>415</v>
      </c>
      <c r="F273" s="48">
        <v>150000</v>
      </c>
      <c r="G273" s="49">
        <v>150000</v>
      </c>
      <c r="H273" s="49">
        <v>112500</v>
      </c>
      <c r="I273" s="49">
        <v>75000</v>
      </c>
    </row>
    <row r="274" spans="1:9" ht="16">
      <c r="A274" t="s">
        <v>134</v>
      </c>
      <c r="B274" s="44" t="s">
        <v>10</v>
      </c>
      <c r="C274" t="s">
        <v>35</v>
      </c>
      <c r="D274" t="s">
        <v>408</v>
      </c>
      <c r="E274" t="s">
        <v>416</v>
      </c>
      <c r="F274" s="48">
        <v>150000</v>
      </c>
      <c r="G274" s="49">
        <v>150000</v>
      </c>
      <c r="H274" s="49">
        <v>112500</v>
      </c>
      <c r="I274" s="49">
        <v>75000</v>
      </c>
    </row>
    <row r="275" spans="1:9" ht="16">
      <c r="A275" t="s">
        <v>134</v>
      </c>
      <c r="B275" s="44" t="s">
        <v>10</v>
      </c>
      <c r="C275" t="s">
        <v>35</v>
      </c>
      <c r="D275" t="s">
        <v>408</v>
      </c>
      <c r="E275" t="s">
        <v>417</v>
      </c>
      <c r="F275" s="48">
        <v>150000</v>
      </c>
      <c r="G275" s="49">
        <v>150000</v>
      </c>
      <c r="H275" s="49">
        <v>112500</v>
      </c>
      <c r="I275" s="49">
        <v>75000</v>
      </c>
    </row>
    <row r="276" spans="1:9" ht="16">
      <c r="A276" t="s">
        <v>134</v>
      </c>
      <c r="B276" s="44" t="s">
        <v>10</v>
      </c>
      <c r="C276" t="s">
        <v>40</v>
      </c>
      <c r="D276" t="s">
        <v>418</v>
      </c>
      <c r="E276" t="s">
        <v>419</v>
      </c>
      <c r="F276" s="48">
        <v>150000</v>
      </c>
      <c r="G276" s="49">
        <v>150000</v>
      </c>
      <c r="H276" s="49">
        <v>112500</v>
      </c>
      <c r="I276" s="49">
        <v>75000</v>
      </c>
    </row>
    <row r="277" spans="1:9" ht="16">
      <c r="A277" t="s">
        <v>134</v>
      </c>
      <c r="B277" s="44" t="s">
        <v>10</v>
      </c>
      <c r="C277" t="s">
        <v>40</v>
      </c>
      <c r="D277" t="s">
        <v>418</v>
      </c>
      <c r="E277" t="s">
        <v>420</v>
      </c>
      <c r="F277" s="48">
        <v>120000</v>
      </c>
      <c r="G277" s="49">
        <v>120000</v>
      </c>
      <c r="H277" s="49">
        <v>90000</v>
      </c>
      <c r="I277" s="49">
        <v>60000</v>
      </c>
    </row>
    <row r="278" spans="1:9" ht="16">
      <c r="A278" t="s">
        <v>134</v>
      </c>
      <c r="B278" s="44" t="s">
        <v>10</v>
      </c>
      <c r="C278" t="s">
        <v>40</v>
      </c>
      <c r="D278" t="s">
        <v>418</v>
      </c>
      <c r="E278" t="s">
        <v>421</v>
      </c>
      <c r="F278" s="48">
        <v>150000</v>
      </c>
      <c r="G278" s="49">
        <v>150000</v>
      </c>
      <c r="H278" s="49">
        <v>112500</v>
      </c>
      <c r="I278" s="49">
        <v>75000</v>
      </c>
    </row>
    <row r="279" spans="1:9" ht="16">
      <c r="A279" t="s">
        <v>134</v>
      </c>
      <c r="B279" s="44" t="s">
        <v>10</v>
      </c>
      <c r="C279" t="s">
        <v>40</v>
      </c>
      <c r="D279" t="s">
        <v>418</v>
      </c>
      <c r="E279" t="s">
        <v>422</v>
      </c>
      <c r="F279" s="48">
        <v>150000</v>
      </c>
      <c r="G279" s="49">
        <v>150000</v>
      </c>
      <c r="H279" s="49">
        <v>112500</v>
      </c>
      <c r="I279" s="49">
        <v>75000</v>
      </c>
    </row>
    <row r="280" spans="1:9" ht="16">
      <c r="A280" t="s">
        <v>134</v>
      </c>
      <c r="B280" s="44" t="s">
        <v>10</v>
      </c>
      <c r="C280" t="s">
        <v>40</v>
      </c>
      <c r="D280" t="s">
        <v>418</v>
      </c>
      <c r="E280" t="s">
        <v>423</v>
      </c>
      <c r="F280" s="48">
        <v>150000</v>
      </c>
      <c r="G280" s="49">
        <v>150000</v>
      </c>
      <c r="H280" s="49">
        <v>112500</v>
      </c>
      <c r="I280" s="49">
        <v>75000</v>
      </c>
    </row>
    <row r="281" spans="1:9" ht="16">
      <c r="A281" t="s">
        <v>134</v>
      </c>
      <c r="B281" s="44" t="s">
        <v>10</v>
      </c>
      <c r="C281" t="s">
        <v>40</v>
      </c>
      <c r="D281" t="s">
        <v>418</v>
      </c>
      <c r="E281" t="s">
        <v>424</v>
      </c>
      <c r="F281" s="48">
        <v>120000</v>
      </c>
      <c r="G281" s="49">
        <v>120000</v>
      </c>
      <c r="H281" s="49">
        <v>90000</v>
      </c>
      <c r="I281" s="49">
        <v>60000</v>
      </c>
    </row>
    <row r="282" spans="1:9" ht="16">
      <c r="A282" t="s">
        <v>134</v>
      </c>
      <c r="B282" s="44" t="s">
        <v>10</v>
      </c>
      <c r="C282" t="s">
        <v>40</v>
      </c>
      <c r="D282" t="s">
        <v>425</v>
      </c>
      <c r="E282" t="s">
        <v>426</v>
      </c>
      <c r="F282" s="48">
        <v>180000</v>
      </c>
      <c r="G282" s="49">
        <v>180000</v>
      </c>
      <c r="H282" s="49">
        <v>135000</v>
      </c>
      <c r="I282" s="49">
        <v>90000</v>
      </c>
    </row>
    <row r="283" spans="1:9" ht="16">
      <c r="A283" t="s">
        <v>134</v>
      </c>
      <c r="B283" s="44" t="s">
        <v>10</v>
      </c>
      <c r="C283" t="s">
        <v>40</v>
      </c>
      <c r="D283" t="s">
        <v>425</v>
      </c>
      <c r="E283" t="s">
        <v>427</v>
      </c>
      <c r="F283" s="48">
        <v>150000</v>
      </c>
      <c r="G283" s="49">
        <v>150000</v>
      </c>
      <c r="H283" s="49">
        <v>112500</v>
      </c>
      <c r="I283" s="49">
        <v>75000</v>
      </c>
    </row>
    <row r="284" spans="1:9" ht="16">
      <c r="A284" t="s">
        <v>134</v>
      </c>
      <c r="B284" s="44" t="s">
        <v>10</v>
      </c>
      <c r="C284" t="s">
        <v>40</v>
      </c>
      <c r="D284" t="s">
        <v>425</v>
      </c>
      <c r="E284" t="s">
        <v>428</v>
      </c>
      <c r="F284" s="48">
        <v>150000</v>
      </c>
      <c r="G284" s="49">
        <v>150000</v>
      </c>
      <c r="H284" s="49">
        <v>112500</v>
      </c>
      <c r="I284" s="49">
        <v>75000</v>
      </c>
    </row>
    <row r="285" spans="1:9" ht="16">
      <c r="A285" t="s">
        <v>134</v>
      </c>
      <c r="B285" s="44" t="s">
        <v>10</v>
      </c>
      <c r="C285" t="s">
        <v>40</v>
      </c>
      <c r="D285" t="s">
        <v>425</v>
      </c>
      <c r="E285" t="s">
        <v>429</v>
      </c>
      <c r="F285" s="48">
        <v>180000</v>
      </c>
      <c r="G285" s="49">
        <v>180000</v>
      </c>
      <c r="H285" s="49">
        <v>135000</v>
      </c>
      <c r="I285" s="49">
        <v>90000</v>
      </c>
    </row>
    <row r="286" spans="1:9" ht="16">
      <c r="A286" t="s">
        <v>134</v>
      </c>
      <c r="B286" s="44" t="s">
        <v>10</v>
      </c>
      <c r="C286" t="s">
        <v>40</v>
      </c>
      <c r="D286" t="s">
        <v>425</v>
      </c>
      <c r="E286" t="s">
        <v>430</v>
      </c>
      <c r="F286" s="48">
        <v>180000</v>
      </c>
      <c r="G286" s="49">
        <v>180000</v>
      </c>
      <c r="H286" s="49">
        <v>135000</v>
      </c>
      <c r="I286" s="49">
        <v>90000</v>
      </c>
    </row>
    <row r="287" spans="1:9" ht="16">
      <c r="A287" t="s">
        <v>134</v>
      </c>
      <c r="B287" s="44" t="s">
        <v>10</v>
      </c>
      <c r="C287" t="s">
        <v>40</v>
      </c>
      <c r="D287" t="s">
        <v>425</v>
      </c>
      <c r="E287" t="s">
        <v>431</v>
      </c>
      <c r="F287" s="48">
        <v>150000</v>
      </c>
      <c r="G287" s="49">
        <v>150000</v>
      </c>
      <c r="H287" s="49">
        <v>112500</v>
      </c>
      <c r="I287" s="49">
        <v>75000</v>
      </c>
    </row>
    <row r="288" spans="1:9" ht="16">
      <c r="A288" t="s">
        <v>134</v>
      </c>
      <c r="B288" s="44" t="s">
        <v>10</v>
      </c>
      <c r="C288" t="s">
        <v>40</v>
      </c>
      <c r="D288" t="s">
        <v>425</v>
      </c>
      <c r="E288" t="s">
        <v>432</v>
      </c>
      <c r="F288" s="48">
        <v>120000</v>
      </c>
      <c r="G288" s="49">
        <v>120000</v>
      </c>
      <c r="H288" s="49">
        <v>90000</v>
      </c>
      <c r="I288" s="49">
        <v>60000</v>
      </c>
    </row>
    <row r="289" spans="1:9" ht="16">
      <c r="A289" t="s">
        <v>134</v>
      </c>
      <c r="B289" s="44" t="s">
        <v>10</v>
      </c>
      <c r="C289" t="s">
        <v>34</v>
      </c>
      <c r="D289" t="s">
        <v>433</v>
      </c>
      <c r="E289" t="s">
        <v>434</v>
      </c>
      <c r="F289" s="48">
        <v>120000</v>
      </c>
      <c r="G289" s="49">
        <v>120000</v>
      </c>
      <c r="H289" s="49">
        <v>90000</v>
      </c>
      <c r="I289" s="49">
        <v>60000</v>
      </c>
    </row>
    <row r="290" spans="1:9" ht="16">
      <c r="A290" t="s">
        <v>134</v>
      </c>
      <c r="B290" s="44" t="s">
        <v>10</v>
      </c>
      <c r="C290" t="s">
        <v>34</v>
      </c>
      <c r="D290" t="s">
        <v>433</v>
      </c>
      <c r="E290" t="s">
        <v>435</v>
      </c>
      <c r="F290" s="48">
        <v>150000</v>
      </c>
      <c r="G290" s="49">
        <v>150000</v>
      </c>
      <c r="H290" s="49">
        <v>112500</v>
      </c>
      <c r="I290" s="49">
        <v>75000</v>
      </c>
    </row>
    <row r="291" spans="1:9" ht="16">
      <c r="A291" t="s">
        <v>134</v>
      </c>
      <c r="B291" s="44" t="s">
        <v>10</v>
      </c>
      <c r="C291" t="s">
        <v>34</v>
      </c>
      <c r="D291" t="s">
        <v>433</v>
      </c>
      <c r="E291" t="s">
        <v>436</v>
      </c>
      <c r="F291" s="48">
        <v>120000</v>
      </c>
      <c r="G291" s="49">
        <v>120000</v>
      </c>
      <c r="H291" s="49">
        <v>90000</v>
      </c>
      <c r="I291" s="49">
        <v>60000</v>
      </c>
    </row>
    <row r="292" spans="1:9" ht="16">
      <c r="A292" t="s">
        <v>134</v>
      </c>
      <c r="B292" s="44" t="s">
        <v>10</v>
      </c>
      <c r="C292" t="s">
        <v>34</v>
      </c>
      <c r="D292" t="s">
        <v>433</v>
      </c>
      <c r="E292" t="s">
        <v>437</v>
      </c>
      <c r="F292" s="48">
        <v>150000</v>
      </c>
      <c r="G292" s="49">
        <v>150000</v>
      </c>
      <c r="H292" s="49">
        <v>112500</v>
      </c>
      <c r="I292" s="49">
        <v>75000</v>
      </c>
    </row>
    <row r="293" spans="1:9" ht="16">
      <c r="A293" t="s">
        <v>134</v>
      </c>
      <c r="B293" s="44" t="s">
        <v>10</v>
      </c>
      <c r="C293" t="s">
        <v>34</v>
      </c>
      <c r="D293" t="s">
        <v>433</v>
      </c>
      <c r="E293" t="s">
        <v>438</v>
      </c>
      <c r="F293" s="48">
        <v>180000</v>
      </c>
      <c r="G293" s="49">
        <v>180000</v>
      </c>
      <c r="H293" s="49">
        <v>135000</v>
      </c>
      <c r="I293" s="49">
        <v>90000</v>
      </c>
    </row>
    <row r="294" spans="1:9" ht="16">
      <c r="A294" t="s">
        <v>134</v>
      </c>
      <c r="B294" s="44" t="s">
        <v>10</v>
      </c>
      <c r="C294" t="s">
        <v>34</v>
      </c>
      <c r="D294" t="s">
        <v>433</v>
      </c>
      <c r="E294" t="s">
        <v>439</v>
      </c>
      <c r="F294" s="48">
        <v>150000</v>
      </c>
      <c r="G294" s="49">
        <v>150000</v>
      </c>
      <c r="H294" s="49">
        <v>112500</v>
      </c>
      <c r="I294" s="49">
        <v>75000</v>
      </c>
    </row>
    <row r="295" spans="1:9" ht="16">
      <c r="A295" t="s">
        <v>134</v>
      </c>
      <c r="B295" s="44" t="s">
        <v>10</v>
      </c>
      <c r="C295" t="s">
        <v>34</v>
      </c>
      <c r="D295" t="s">
        <v>433</v>
      </c>
      <c r="E295" t="s">
        <v>440</v>
      </c>
      <c r="F295" s="48">
        <v>150000</v>
      </c>
      <c r="G295" s="49">
        <v>150000</v>
      </c>
      <c r="H295" s="49">
        <v>112500</v>
      </c>
      <c r="I295" s="49">
        <v>75000</v>
      </c>
    </row>
    <row r="296" spans="1:9" ht="16">
      <c r="A296" t="s">
        <v>134</v>
      </c>
      <c r="B296" s="44" t="s">
        <v>10</v>
      </c>
      <c r="C296" t="s">
        <v>34</v>
      </c>
      <c r="D296" t="s">
        <v>433</v>
      </c>
      <c r="E296" t="s">
        <v>441</v>
      </c>
      <c r="F296" s="48">
        <v>120000</v>
      </c>
      <c r="G296" s="49">
        <v>120000</v>
      </c>
      <c r="H296" s="49">
        <v>90000</v>
      </c>
      <c r="I296" s="49">
        <v>60000</v>
      </c>
    </row>
    <row r="297" spans="1:9" ht="16">
      <c r="A297" t="s">
        <v>134</v>
      </c>
      <c r="B297" s="44" t="s">
        <v>10</v>
      </c>
      <c r="C297" t="s">
        <v>34</v>
      </c>
      <c r="D297" t="s">
        <v>442</v>
      </c>
      <c r="E297" t="s">
        <v>443</v>
      </c>
      <c r="F297" s="48">
        <v>180000</v>
      </c>
      <c r="G297" s="49">
        <v>180000</v>
      </c>
      <c r="H297" s="49">
        <v>135000</v>
      </c>
      <c r="I297" s="49">
        <v>90000</v>
      </c>
    </row>
    <row r="298" spans="1:9" ht="16">
      <c r="A298" t="s">
        <v>134</v>
      </c>
      <c r="B298" s="44" t="s">
        <v>10</v>
      </c>
      <c r="C298" t="s">
        <v>34</v>
      </c>
      <c r="D298" t="s">
        <v>442</v>
      </c>
      <c r="E298" t="s">
        <v>444</v>
      </c>
      <c r="F298" s="48">
        <v>180000</v>
      </c>
      <c r="G298" s="49">
        <v>180000</v>
      </c>
      <c r="H298" s="49">
        <v>135000</v>
      </c>
      <c r="I298" s="49">
        <v>90000</v>
      </c>
    </row>
    <row r="299" spans="1:9" ht="16">
      <c r="A299" t="s">
        <v>134</v>
      </c>
      <c r="B299" s="44" t="s">
        <v>10</v>
      </c>
      <c r="C299" t="s">
        <v>34</v>
      </c>
      <c r="D299" t="s">
        <v>442</v>
      </c>
      <c r="E299" t="s">
        <v>445</v>
      </c>
      <c r="F299" s="48">
        <v>120000</v>
      </c>
      <c r="G299" s="49">
        <v>120000</v>
      </c>
      <c r="H299" s="49">
        <v>90000</v>
      </c>
      <c r="I299" s="49">
        <v>60000</v>
      </c>
    </row>
    <row r="300" spans="1:9" ht="16">
      <c r="A300" t="s">
        <v>134</v>
      </c>
      <c r="B300" s="44" t="s">
        <v>10</v>
      </c>
      <c r="C300" t="s">
        <v>34</v>
      </c>
      <c r="D300" t="s">
        <v>442</v>
      </c>
      <c r="E300" t="s">
        <v>446</v>
      </c>
      <c r="F300" s="48">
        <v>180000</v>
      </c>
      <c r="G300" s="49">
        <v>180000</v>
      </c>
      <c r="H300" s="49">
        <v>135000</v>
      </c>
      <c r="I300" s="49">
        <v>90000</v>
      </c>
    </row>
    <row r="301" spans="1:9" ht="16">
      <c r="A301" t="s">
        <v>134</v>
      </c>
      <c r="B301" s="44" t="s">
        <v>10</v>
      </c>
      <c r="C301" t="s">
        <v>34</v>
      </c>
      <c r="D301" t="s">
        <v>442</v>
      </c>
      <c r="E301" t="s">
        <v>447</v>
      </c>
      <c r="F301" s="48">
        <v>120000</v>
      </c>
      <c r="G301" s="49">
        <v>120000</v>
      </c>
      <c r="H301" s="49">
        <v>90000</v>
      </c>
      <c r="I301" s="49">
        <v>60000</v>
      </c>
    </row>
    <row r="302" spans="1:9" ht="16">
      <c r="A302" t="s">
        <v>134</v>
      </c>
      <c r="B302" s="44" t="s">
        <v>10</v>
      </c>
      <c r="C302" t="s">
        <v>34</v>
      </c>
      <c r="D302" t="s">
        <v>442</v>
      </c>
      <c r="E302" t="s">
        <v>448</v>
      </c>
      <c r="F302" s="48">
        <v>180000</v>
      </c>
      <c r="G302" s="49">
        <v>180000</v>
      </c>
      <c r="H302" s="49">
        <v>135000</v>
      </c>
      <c r="I302" s="49">
        <v>90000</v>
      </c>
    </row>
    <row r="303" spans="1:9" ht="16">
      <c r="A303" t="s">
        <v>134</v>
      </c>
      <c r="B303" s="44" t="s">
        <v>175</v>
      </c>
      <c r="C303" t="s">
        <v>27</v>
      </c>
      <c r="D303" t="s">
        <v>449</v>
      </c>
      <c r="E303" t="s">
        <v>450</v>
      </c>
      <c r="F303" s="48">
        <v>180000</v>
      </c>
      <c r="G303" s="49">
        <v>180000</v>
      </c>
      <c r="H303" s="49">
        <v>135000</v>
      </c>
      <c r="I303" s="49">
        <v>90000</v>
      </c>
    </row>
    <row r="304" spans="1:9" ht="16">
      <c r="A304" t="s">
        <v>134</v>
      </c>
      <c r="B304" s="44" t="s">
        <v>175</v>
      </c>
      <c r="C304" t="s">
        <v>27</v>
      </c>
      <c r="D304" t="s">
        <v>449</v>
      </c>
      <c r="E304" t="s">
        <v>451</v>
      </c>
      <c r="F304" s="48">
        <v>120000</v>
      </c>
      <c r="G304" s="49">
        <v>120000</v>
      </c>
      <c r="H304" s="49">
        <v>90000</v>
      </c>
      <c r="I304" s="49">
        <v>60000</v>
      </c>
    </row>
    <row r="305" spans="1:9" ht="16">
      <c r="A305" t="s">
        <v>134</v>
      </c>
      <c r="B305" s="44" t="s">
        <v>175</v>
      </c>
      <c r="C305" t="s">
        <v>27</v>
      </c>
      <c r="D305" t="s">
        <v>449</v>
      </c>
      <c r="E305" t="s">
        <v>452</v>
      </c>
      <c r="F305" s="48">
        <v>180000</v>
      </c>
      <c r="G305" s="49">
        <v>180000</v>
      </c>
      <c r="H305" s="49">
        <v>135000</v>
      </c>
      <c r="I305" s="49">
        <v>90000</v>
      </c>
    </row>
    <row r="306" spans="1:9" ht="16">
      <c r="A306" t="s">
        <v>134</v>
      </c>
      <c r="B306" s="44" t="s">
        <v>175</v>
      </c>
      <c r="C306" t="s">
        <v>27</v>
      </c>
      <c r="D306" t="s">
        <v>449</v>
      </c>
      <c r="E306" t="s">
        <v>453</v>
      </c>
      <c r="F306" s="48">
        <v>180000</v>
      </c>
      <c r="G306" s="49">
        <v>180000</v>
      </c>
      <c r="H306" s="49">
        <v>135000</v>
      </c>
      <c r="I306" s="49">
        <v>90000</v>
      </c>
    </row>
    <row r="307" spans="1:9" ht="16">
      <c r="A307" t="s">
        <v>134</v>
      </c>
      <c r="B307" s="44" t="s">
        <v>175</v>
      </c>
      <c r="C307" t="s">
        <v>27</v>
      </c>
      <c r="D307" t="s">
        <v>449</v>
      </c>
      <c r="E307" t="s">
        <v>454</v>
      </c>
      <c r="F307" s="48">
        <v>120000</v>
      </c>
      <c r="G307" s="49">
        <v>120000</v>
      </c>
      <c r="H307" s="49">
        <v>90000</v>
      </c>
      <c r="I307" s="49">
        <v>60000</v>
      </c>
    </row>
    <row r="308" spans="1:9" ht="16">
      <c r="A308" t="s">
        <v>134</v>
      </c>
      <c r="B308" s="44" t="s">
        <v>175</v>
      </c>
      <c r="C308" t="s">
        <v>33</v>
      </c>
      <c r="D308" t="s">
        <v>455</v>
      </c>
      <c r="E308" t="s">
        <v>456</v>
      </c>
      <c r="F308" s="48">
        <v>180000</v>
      </c>
      <c r="G308" s="49">
        <v>180000</v>
      </c>
      <c r="H308" s="49">
        <v>135000</v>
      </c>
      <c r="I308" s="49">
        <v>90000</v>
      </c>
    </row>
    <row r="309" spans="1:9" ht="16">
      <c r="A309" t="s">
        <v>134</v>
      </c>
      <c r="B309" s="44" t="s">
        <v>175</v>
      </c>
      <c r="C309" t="s">
        <v>33</v>
      </c>
      <c r="D309" t="s">
        <v>455</v>
      </c>
      <c r="E309" t="s">
        <v>457</v>
      </c>
      <c r="F309" s="48">
        <v>150000</v>
      </c>
      <c r="G309" s="49">
        <v>150000</v>
      </c>
      <c r="H309" s="49">
        <v>112500</v>
      </c>
      <c r="I309" s="49">
        <v>75000</v>
      </c>
    </row>
    <row r="310" spans="1:9" ht="16">
      <c r="A310" t="s">
        <v>134</v>
      </c>
      <c r="B310" s="44" t="s">
        <v>175</v>
      </c>
      <c r="C310" t="s">
        <v>33</v>
      </c>
      <c r="D310" t="s">
        <v>455</v>
      </c>
      <c r="E310" t="s">
        <v>458</v>
      </c>
      <c r="F310" s="48">
        <v>180000</v>
      </c>
      <c r="G310" s="49">
        <v>180000</v>
      </c>
      <c r="H310" s="49">
        <v>135000</v>
      </c>
      <c r="I310" s="49">
        <v>90000</v>
      </c>
    </row>
    <row r="311" spans="1:9" ht="16">
      <c r="A311" t="s">
        <v>134</v>
      </c>
      <c r="B311" s="44" t="s">
        <v>175</v>
      </c>
      <c r="C311" t="s">
        <v>33</v>
      </c>
      <c r="D311" t="s">
        <v>455</v>
      </c>
      <c r="E311" t="s">
        <v>459</v>
      </c>
      <c r="F311" s="48">
        <v>120000</v>
      </c>
      <c r="G311" s="49">
        <v>120000</v>
      </c>
      <c r="H311" s="49">
        <v>90000</v>
      </c>
      <c r="I311" s="49">
        <v>60000</v>
      </c>
    </row>
    <row r="312" spans="1:9" ht="16">
      <c r="A312" t="s">
        <v>134</v>
      </c>
      <c r="B312" s="44" t="s">
        <v>175</v>
      </c>
      <c r="C312" t="s">
        <v>33</v>
      </c>
      <c r="D312" t="s">
        <v>455</v>
      </c>
      <c r="E312" t="s">
        <v>460</v>
      </c>
      <c r="F312" s="48">
        <v>150000</v>
      </c>
      <c r="G312" s="49">
        <v>150000</v>
      </c>
      <c r="H312" s="49">
        <v>112500</v>
      </c>
      <c r="I312" s="49">
        <v>75000</v>
      </c>
    </row>
    <row r="313" spans="1:9" ht="16">
      <c r="A313" t="s">
        <v>134</v>
      </c>
      <c r="B313" s="44" t="s">
        <v>175</v>
      </c>
      <c r="C313" t="s">
        <v>33</v>
      </c>
      <c r="D313" t="s">
        <v>455</v>
      </c>
      <c r="E313" t="s">
        <v>461</v>
      </c>
      <c r="F313" s="48">
        <v>150000</v>
      </c>
      <c r="G313" s="49">
        <v>150000</v>
      </c>
      <c r="H313" s="49">
        <v>112500</v>
      </c>
      <c r="I313" s="49">
        <v>75000</v>
      </c>
    </row>
    <row r="314" spans="1:9" ht="16">
      <c r="A314" t="s">
        <v>134</v>
      </c>
      <c r="B314" s="44" t="s">
        <v>175</v>
      </c>
      <c r="C314" t="s">
        <v>33</v>
      </c>
      <c r="D314" t="s">
        <v>455</v>
      </c>
      <c r="E314" t="s">
        <v>462</v>
      </c>
      <c r="F314" s="48">
        <v>150000</v>
      </c>
      <c r="G314" s="49">
        <v>150000</v>
      </c>
      <c r="H314" s="49">
        <v>112500</v>
      </c>
      <c r="I314" s="49">
        <v>75000</v>
      </c>
    </row>
    <row r="315" spans="1:9" ht="16">
      <c r="A315" t="s">
        <v>134</v>
      </c>
      <c r="B315" s="44" t="s">
        <v>175</v>
      </c>
      <c r="C315" t="s">
        <v>33</v>
      </c>
      <c r="D315" t="s">
        <v>463</v>
      </c>
      <c r="E315" t="s">
        <v>464</v>
      </c>
      <c r="F315" s="48">
        <v>150000</v>
      </c>
      <c r="G315" s="49">
        <v>150000</v>
      </c>
      <c r="H315" s="49">
        <v>112500</v>
      </c>
      <c r="I315" s="49">
        <v>75000</v>
      </c>
    </row>
    <row r="316" spans="1:9" ht="16">
      <c r="A316" t="s">
        <v>134</v>
      </c>
      <c r="B316" s="44" t="s">
        <v>175</v>
      </c>
      <c r="C316" t="s">
        <v>33</v>
      </c>
      <c r="D316" t="s">
        <v>463</v>
      </c>
      <c r="E316" t="s">
        <v>465</v>
      </c>
      <c r="F316" s="48">
        <v>150000</v>
      </c>
      <c r="G316" s="49">
        <v>150000</v>
      </c>
      <c r="H316" s="49">
        <v>112500</v>
      </c>
      <c r="I316" s="49">
        <v>75000</v>
      </c>
    </row>
    <row r="317" spans="1:9" ht="16">
      <c r="A317" t="s">
        <v>134</v>
      </c>
      <c r="B317" s="44" t="s">
        <v>175</v>
      </c>
      <c r="C317" t="s">
        <v>33</v>
      </c>
      <c r="D317" t="s">
        <v>463</v>
      </c>
      <c r="E317" t="s">
        <v>466</v>
      </c>
      <c r="F317" s="48">
        <v>150000</v>
      </c>
      <c r="G317" s="49">
        <v>150000</v>
      </c>
      <c r="H317" s="49">
        <v>112500</v>
      </c>
      <c r="I317" s="49">
        <v>75000</v>
      </c>
    </row>
    <row r="318" spans="1:9" ht="16">
      <c r="A318" t="s">
        <v>134</v>
      </c>
      <c r="B318" s="44" t="s">
        <v>175</v>
      </c>
      <c r="C318" t="s">
        <v>33</v>
      </c>
      <c r="D318" t="s">
        <v>463</v>
      </c>
      <c r="E318" t="s">
        <v>467</v>
      </c>
      <c r="F318" s="48">
        <v>180000</v>
      </c>
      <c r="G318" s="49">
        <v>180000</v>
      </c>
      <c r="H318" s="49">
        <v>135000</v>
      </c>
      <c r="I318" s="49">
        <v>90000</v>
      </c>
    </row>
    <row r="319" spans="1:9" ht="16">
      <c r="A319" t="s">
        <v>134</v>
      </c>
      <c r="B319" s="44" t="s">
        <v>175</v>
      </c>
      <c r="C319" t="s">
        <v>33</v>
      </c>
      <c r="D319" t="s">
        <v>463</v>
      </c>
      <c r="E319" t="s">
        <v>468</v>
      </c>
      <c r="F319" s="48">
        <v>150000</v>
      </c>
      <c r="G319" s="49">
        <v>150000</v>
      </c>
      <c r="H319" s="49">
        <v>112500</v>
      </c>
      <c r="I319" s="49">
        <v>75000</v>
      </c>
    </row>
    <row r="320" spans="1:9" ht="16">
      <c r="A320" t="s">
        <v>134</v>
      </c>
      <c r="B320" s="44" t="s">
        <v>175</v>
      </c>
      <c r="C320" t="s">
        <v>33</v>
      </c>
      <c r="D320" t="s">
        <v>463</v>
      </c>
      <c r="E320" t="s">
        <v>469</v>
      </c>
      <c r="F320" s="48">
        <v>120000</v>
      </c>
      <c r="G320" s="49">
        <v>120000</v>
      </c>
      <c r="H320" s="49">
        <v>90000</v>
      </c>
      <c r="I320" s="49">
        <v>60000</v>
      </c>
    </row>
    <row r="321" spans="1:9" ht="16">
      <c r="A321" t="s">
        <v>134</v>
      </c>
      <c r="B321" s="44" t="s">
        <v>175</v>
      </c>
      <c r="C321" t="s">
        <v>33</v>
      </c>
      <c r="D321" t="s">
        <v>470</v>
      </c>
      <c r="E321" t="s">
        <v>471</v>
      </c>
      <c r="F321" s="48">
        <v>180000</v>
      </c>
      <c r="G321" s="49">
        <v>180000</v>
      </c>
      <c r="H321" s="49">
        <v>135000</v>
      </c>
      <c r="I321" s="49">
        <v>90000</v>
      </c>
    </row>
    <row r="322" spans="1:9" ht="16">
      <c r="A322" t="s">
        <v>134</v>
      </c>
      <c r="B322" s="44" t="s">
        <v>175</v>
      </c>
      <c r="C322" t="s">
        <v>33</v>
      </c>
      <c r="D322" t="s">
        <v>470</v>
      </c>
      <c r="E322" t="s">
        <v>472</v>
      </c>
      <c r="F322" s="48">
        <v>150000</v>
      </c>
      <c r="G322" s="49">
        <v>150000</v>
      </c>
      <c r="H322" s="49">
        <v>112500</v>
      </c>
      <c r="I322" s="49">
        <v>75000</v>
      </c>
    </row>
    <row r="323" spans="1:9" ht="16">
      <c r="A323" t="s">
        <v>134</v>
      </c>
      <c r="B323" s="44" t="s">
        <v>175</v>
      </c>
      <c r="C323" t="s">
        <v>33</v>
      </c>
      <c r="D323" t="s">
        <v>470</v>
      </c>
      <c r="E323" t="s">
        <v>473</v>
      </c>
      <c r="F323" s="48">
        <v>120000</v>
      </c>
      <c r="G323" s="49">
        <v>120000</v>
      </c>
      <c r="H323" s="49">
        <v>90000</v>
      </c>
      <c r="I323" s="49">
        <v>60000</v>
      </c>
    </row>
    <row r="324" spans="1:9" ht="16">
      <c r="A324" t="s">
        <v>134</v>
      </c>
      <c r="B324" s="44" t="s">
        <v>175</v>
      </c>
      <c r="C324" t="s">
        <v>33</v>
      </c>
      <c r="D324" t="s">
        <v>470</v>
      </c>
      <c r="E324" t="s">
        <v>474</v>
      </c>
      <c r="F324" s="48">
        <v>180000</v>
      </c>
      <c r="G324" s="49">
        <v>180000</v>
      </c>
      <c r="H324" s="49">
        <v>135000</v>
      </c>
      <c r="I324" s="49">
        <v>90000</v>
      </c>
    </row>
    <row r="325" spans="1:9" ht="16">
      <c r="A325" t="s">
        <v>134</v>
      </c>
      <c r="B325" s="44" t="s">
        <v>475</v>
      </c>
      <c r="C325" t="s">
        <v>66</v>
      </c>
      <c r="D325" t="s">
        <v>476</v>
      </c>
      <c r="E325" t="s">
        <v>477</v>
      </c>
      <c r="F325" s="48">
        <v>120000</v>
      </c>
      <c r="G325" s="49">
        <v>120000</v>
      </c>
      <c r="H325" s="49">
        <v>90000</v>
      </c>
      <c r="I325" s="49">
        <v>60000</v>
      </c>
    </row>
    <row r="326" spans="1:9" ht="16">
      <c r="A326" t="s">
        <v>134</v>
      </c>
      <c r="B326" s="44" t="s">
        <v>475</v>
      </c>
      <c r="C326" t="s">
        <v>66</v>
      </c>
      <c r="D326" t="s">
        <v>476</v>
      </c>
      <c r="E326" t="s">
        <v>478</v>
      </c>
      <c r="F326" s="48">
        <v>120000</v>
      </c>
      <c r="G326" s="49">
        <v>120000</v>
      </c>
      <c r="H326" s="49">
        <v>90000</v>
      </c>
      <c r="I326" s="49">
        <v>60000</v>
      </c>
    </row>
    <row r="327" spans="1:9" ht="16">
      <c r="A327" t="s">
        <v>134</v>
      </c>
      <c r="B327" s="44" t="s">
        <v>475</v>
      </c>
      <c r="C327" t="s">
        <v>66</v>
      </c>
      <c r="D327" t="s">
        <v>476</v>
      </c>
      <c r="E327" t="s">
        <v>479</v>
      </c>
      <c r="F327" s="48">
        <v>120000</v>
      </c>
      <c r="G327" s="49">
        <v>120000</v>
      </c>
      <c r="H327" s="49">
        <v>90000</v>
      </c>
      <c r="I327" s="49">
        <v>60000</v>
      </c>
    </row>
    <row r="328" spans="1:9" ht="16">
      <c r="A328" t="s">
        <v>134</v>
      </c>
      <c r="B328" s="44" t="s">
        <v>475</v>
      </c>
      <c r="C328" t="s">
        <v>66</v>
      </c>
      <c r="D328" t="s">
        <v>476</v>
      </c>
      <c r="E328" t="s">
        <v>480</v>
      </c>
      <c r="F328" s="48">
        <v>180000</v>
      </c>
      <c r="G328" s="49">
        <v>180000</v>
      </c>
      <c r="H328" s="49">
        <v>135000</v>
      </c>
      <c r="I328" s="49">
        <v>90000</v>
      </c>
    </row>
    <row r="329" spans="1:9" ht="16">
      <c r="A329" t="s">
        <v>134</v>
      </c>
      <c r="B329" s="44" t="s">
        <v>475</v>
      </c>
      <c r="C329" t="s">
        <v>66</v>
      </c>
      <c r="D329" t="s">
        <v>476</v>
      </c>
      <c r="E329" t="s">
        <v>481</v>
      </c>
      <c r="F329" s="48">
        <v>150000</v>
      </c>
      <c r="G329" s="49">
        <v>150000</v>
      </c>
      <c r="H329" s="49">
        <v>112500</v>
      </c>
      <c r="I329" s="49">
        <v>75000</v>
      </c>
    </row>
    <row r="330" spans="1:9" ht="16">
      <c r="A330" t="s">
        <v>134</v>
      </c>
      <c r="B330" s="44" t="s">
        <v>475</v>
      </c>
      <c r="C330" t="s">
        <v>66</v>
      </c>
      <c r="D330" t="s">
        <v>476</v>
      </c>
      <c r="E330" t="s">
        <v>482</v>
      </c>
      <c r="F330" s="48">
        <v>180000</v>
      </c>
      <c r="G330" s="49">
        <v>180000</v>
      </c>
      <c r="H330" s="49">
        <v>135000</v>
      </c>
      <c r="I330" s="49">
        <v>90000</v>
      </c>
    </row>
    <row r="331" spans="1:9" ht="16">
      <c r="A331" t="s">
        <v>134</v>
      </c>
      <c r="B331" s="44" t="s">
        <v>475</v>
      </c>
      <c r="C331" t="s">
        <v>66</v>
      </c>
      <c r="D331" t="s">
        <v>476</v>
      </c>
      <c r="E331" t="s">
        <v>483</v>
      </c>
      <c r="F331" s="48">
        <v>150000</v>
      </c>
      <c r="G331" s="49">
        <v>150000</v>
      </c>
      <c r="H331" s="49">
        <v>112500</v>
      </c>
      <c r="I331" s="49">
        <v>75000</v>
      </c>
    </row>
    <row r="332" spans="1:9" ht="16">
      <c r="A332" t="s">
        <v>134</v>
      </c>
      <c r="B332" s="44" t="s">
        <v>475</v>
      </c>
      <c r="C332" t="s">
        <v>66</v>
      </c>
      <c r="D332" t="s">
        <v>476</v>
      </c>
      <c r="E332" t="s">
        <v>484</v>
      </c>
      <c r="F332" s="48">
        <v>150000</v>
      </c>
      <c r="G332" s="49">
        <v>150000</v>
      </c>
      <c r="H332" s="49">
        <v>112500</v>
      </c>
      <c r="I332" s="49">
        <v>75000</v>
      </c>
    </row>
    <row r="333" spans="1:9" ht="16">
      <c r="A333" t="s">
        <v>134</v>
      </c>
      <c r="B333" s="44" t="s">
        <v>475</v>
      </c>
      <c r="C333" t="s">
        <v>66</v>
      </c>
      <c r="D333" t="s">
        <v>476</v>
      </c>
      <c r="E333" t="s">
        <v>485</v>
      </c>
      <c r="F333" s="48">
        <v>150000</v>
      </c>
      <c r="G333" s="49">
        <v>150000</v>
      </c>
      <c r="H333" s="49">
        <v>112500</v>
      </c>
      <c r="I333" s="49">
        <v>75000</v>
      </c>
    </row>
    <row r="334" spans="1:9" ht="16">
      <c r="A334" t="s">
        <v>134</v>
      </c>
      <c r="B334" s="44" t="s">
        <v>475</v>
      </c>
      <c r="C334" t="s">
        <v>66</v>
      </c>
      <c r="D334" t="s">
        <v>476</v>
      </c>
      <c r="E334" t="s">
        <v>486</v>
      </c>
      <c r="F334" s="48">
        <v>180000</v>
      </c>
      <c r="G334" s="49">
        <v>180000</v>
      </c>
      <c r="H334" s="49">
        <v>135000</v>
      </c>
      <c r="I334" s="49">
        <v>90000</v>
      </c>
    </row>
    <row r="335" spans="1:9" ht="16">
      <c r="A335" t="s">
        <v>134</v>
      </c>
      <c r="B335" s="44" t="s">
        <v>475</v>
      </c>
      <c r="C335" t="s">
        <v>65</v>
      </c>
      <c r="D335" t="s">
        <v>487</v>
      </c>
      <c r="E335" t="s">
        <v>488</v>
      </c>
      <c r="F335" s="48">
        <v>150000</v>
      </c>
      <c r="G335" s="49">
        <v>150000</v>
      </c>
      <c r="H335" s="49">
        <v>112500</v>
      </c>
      <c r="I335" s="49">
        <v>75000</v>
      </c>
    </row>
    <row r="336" spans="1:9" ht="16">
      <c r="A336" t="s">
        <v>134</v>
      </c>
      <c r="B336" s="44" t="s">
        <v>475</v>
      </c>
      <c r="C336" t="s">
        <v>65</v>
      </c>
      <c r="D336" t="s">
        <v>487</v>
      </c>
      <c r="E336" t="s">
        <v>489</v>
      </c>
      <c r="F336" s="48">
        <v>150000</v>
      </c>
      <c r="G336" s="49">
        <v>150000</v>
      </c>
      <c r="H336" s="49">
        <v>112500</v>
      </c>
      <c r="I336" s="49">
        <v>75000</v>
      </c>
    </row>
    <row r="337" spans="1:9" ht="16">
      <c r="A337" t="s">
        <v>134</v>
      </c>
      <c r="B337" s="44" t="s">
        <v>475</v>
      </c>
      <c r="C337" t="s">
        <v>65</v>
      </c>
      <c r="D337" t="s">
        <v>487</v>
      </c>
      <c r="E337" t="s">
        <v>490</v>
      </c>
      <c r="F337" s="48">
        <v>150000</v>
      </c>
      <c r="G337" s="49">
        <v>150000</v>
      </c>
      <c r="H337" s="49">
        <v>112500</v>
      </c>
      <c r="I337" s="49">
        <v>75000</v>
      </c>
    </row>
    <row r="338" spans="1:9" ht="16">
      <c r="A338" t="s">
        <v>134</v>
      </c>
      <c r="B338" s="44" t="s">
        <v>475</v>
      </c>
      <c r="C338" t="s">
        <v>65</v>
      </c>
      <c r="D338" t="s">
        <v>487</v>
      </c>
      <c r="E338" t="s">
        <v>491</v>
      </c>
      <c r="F338" s="48">
        <v>120000</v>
      </c>
      <c r="G338" s="49">
        <v>120000</v>
      </c>
      <c r="H338" s="49">
        <v>90000</v>
      </c>
      <c r="I338" s="49">
        <v>60000</v>
      </c>
    </row>
    <row r="339" spans="1:9" ht="16">
      <c r="A339" t="s">
        <v>134</v>
      </c>
      <c r="B339" s="44" t="s">
        <v>475</v>
      </c>
      <c r="C339" t="s">
        <v>65</v>
      </c>
      <c r="D339" t="s">
        <v>487</v>
      </c>
      <c r="E339" t="s">
        <v>492</v>
      </c>
      <c r="F339" s="48">
        <v>180000</v>
      </c>
      <c r="G339" s="49">
        <v>180000</v>
      </c>
      <c r="H339" s="49">
        <v>135000</v>
      </c>
      <c r="I339" s="49">
        <v>90000</v>
      </c>
    </row>
    <row r="340" spans="1:9" ht="16">
      <c r="A340" t="s">
        <v>134</v>
      </c>
      <c r="B340" s="44" t="s">
        <v>475</v>
      </c>
      <c r="C340" t="s">
        <v>65</v>
      </c>
      <c r="D340" t="s">
        <v>487</v>
      </c>
      <c r="E340" t="s">
        <v>493</v>
      </c>
      <c r="F340" s="48">
        <v>180000</v>
      </c>
      <c r="G340" s="49">
        <v>180000</v>
      </c>
      <c r="H340" s="49">
        <v>135000</v>
      </c>
      <c r="I340" s="49">
        <v>90000</v>
      </c>
    </row>
    <row r="341" spans="1:9" ht="16">
      <c r="A341" t="s">
        <v>134</v>
      </c>
      <c r="B341" s="44" t="s">
        <v>475</v>
      </c>
      <c r="C341" t="s">
        <v>65</v>
      </c>
      <c r="D341" t="s">
        <v>487</v>
      </c>
      <c r="E341" t="s">
        <v>494</v>
      </c>
      <c r="F341" s="48">
        <v>150000</v>
      </c>
      <c r="G341" s="49">
        <v>150000</v>
      </c>
      <c r="H341" s="49">
        <v>112500</v>
      </c>
      <c r="I341" s="49">
        <v>75000</v>
      </c>
    </row>
    <row r="342" spans="1:9" ht="16">
      <c r="A342" t="s">
        <v>134</v>
      </c>
      <c r="B342" s="44" t="s">
        <v>475</v>
      </c>
      <c r="C342" t="s">
        <v>65</v>
      </c>
      <c r="D342" t="s">
        <v>495</v>
      </c>
      <c r="E342" t="s">
        <v>496</v>
      </c>
      <c r="F342" s="48">
        <v>120000</v>
      </c>
      <c r="G342" s="49">
        <v>120000</v>
      </c>
      <c r="H342" s="49">
        <v>90000</v>
      </c>
      <c r="I342" s="49">
        <v>60000</v>
      </c>
    </row>
    <row r="343" spans="1:9" ht="16">
      <c r="A343" t="s">
        <v>134</v>
      </c>
      <c r="B343" s="44" t="s">
        <v>475</v>
      </c>
      <c r="C343" t="s">
        <v>65</v>
      </c>
      <c r="D343" t="s">
        <v>495</v>
      </c>
      <c r="E343" t="s">
        <v>497</v>
      </c>
      <c r="F343" s="48">
        <v>120000</v>
      </c>
      <c r="G343" s="49">
        <v>120000</v>
      </c>
      <c r="H343" s="49">
        <v>90000</v>
      </c>
      <c r="I343" s="49">
        <v>60000</v>
      </c>
    </row>
    <row r="344" spans="1:9" ht="16">
      <c r="A344" t="s">
        <v>134</v>
      </c>
      <c r="B344" s="44" t="s">
        <v>475</v>
      </c>
      <c r="C344" t="s">
        <v>65</v>
      </c>
      <c r="D344" t="s">
        <v>495</v>
      </c>
      <c r="E344" t="s">
        <v>498</v>
      </c>
      <c r="F344" s="48">
        <v>120000</v>
      </c>
      <c r="G344" s="49">
        <v>120000</v>
      </c>
      <c r="H344" s="49">
        <v>90000</v>
      </c>
      <c r="I344" s="49">
        <v>60000</v>
      </c>
    </row>
    <row r="345" spans="1:9" ht="16">
      <c r="A345" t="s">
        <v>134</v>
      </c>
      <c r="B345" s="44" t="s">
        <v>475</v>
      </c>
      <c r="C345" t="s">
        <v>65</v>
      </c>
      <c r="D345" t="s">
        <v>495</v>
      </c>
      <c r="E345" t="s">
        <v>499</v>
      </c>
      <c r="F345" s="48">
        <v>120000</v>
      </c>
      <c r="G345" s="49">
        <v>120000</v>
      </c>
      <c r="H345" s="49">
        <v>90000</v>
      </c>
      <c r="I345" s="49">
        <v>60000</v>
      </c>
    </row>
    <row r="346" spans="1:9" ht="16">
      <c r="A346" t="s">
        <v>134</v>
      </c>
      <c r="B346" s="44" t="s">
        <v>475</v>
      </c>
      <c r="C346" t="s">
        <v>65</v>
      </c>
      <c r="D346" t="s">
        <v>495</v>
      </c>
      <c r="E346" t="s">
        <v>500</v>
      </c>
      <c r="F346" s="48">
        <v>150000</v>
      </c>
      <c r="G346" s="49">
        <v>150000</v>
      </c>
      <c r="H346" s="49">
        <v>112500</v>
      </c>
      <c r="I346" s="49">
        <v>75000</v>
      </c>
    </row>
    <row r="347" spans="1:9" ht="16">
      <c r="A347" t="s">
        <v>134</v>
      </c>
      <c r="B347" s="44" t="s">
        <v>475</v>
      </c>
      <c r="C347" t="s">
        <v>65</v>
      </c>
      <c r="D347" t="s">
        <v>495</v>
      </c>
      <c r="E347" t="s">
        <v>501</v>
      </c>
      <c r="F347" s="48">
        <v>180000</v>
      </c>
      <c r="G347" s="49">
        <v>180000</v>
      </c>
      <c r="H347" s="49">
        <v>135000</v>
      </c>
      <c r="I347" s="49">
        <v>90000</v>
      </c>
    </row>
    <row r="348" spans="1:9" ht="16">
      <c r="A348" t="s">
        <v>134</v>
      </c>
      <c r="B348" s="44" t="s">
        <v>475</v>
      </c>
      <c r="C348" t="s">
        <v>65</v>
      </c>
      <c r="D348" t="s">
        <v>495</v>
      </c>
      <c r="E348" t="s">
        <v>502</v>
      </c>
      <c r="F348" s="48">
        <v>120000</v>
      </c>
      <c r="G348" s="49">
        <v>120000</v>
      </c>
      <c r="H348" s="49">
        <v>90000</v>
      </c>
      <c r="I348" s="49">
        <v>60000</v>
      </c>
    </row>
    <row r="349" spans="1:9" ht="16">
      <c r="A349" t="s">
        <v>134</v>
      </c>
      <c r="B349" s="44" t="s">
        <v>475</v>
      </c>
      <c r="C349" t="s">
        <v>65</v>
      </c>
      <c r="D349" t="s">
        <v>495</v>
      </c>
      <c r="E349" t="s">
        <v>503</v>
      </c>
      <c r="F349" s="48">
        <v>150000</v>
      </c>
      <c r="G349" s="49">
        <v>150000</v>
      </c>
      <c r="H349" s="49">
        <v>112500</v>
      </c>
      <c r="I349" s="49">
        <v>75000</v>
      </c>
    </row>
    <row r="350" spans="1:9" ht="16">
      <c r="A350" t="s">
        <v>134</v>
      </c>
      <c r="B350" s="44" t="s">
        <v>475</v>
      </c>
      <c r="C350" t="s">
        <v>70</v>
      </c>
      <c r="D350" t="s">
        <v>504</v>
      </c>
      <c r="E350" t="s">
        <v>505</v>
      </c>
      <c r="F350" s="48">
        <v>120000</v>
      </c>
      <c r="G350" s="49">
        <v>120000</v>
      </c>
      <c r="H350" s="49">
        <v>90000</v>
      </c>
      <c r="I350" s="49">
        <v>60000</v>
      </c>
    </row>
    <row r="351" spans="1:9" ht="16">
      <c r="A351" t="s">
        <v>134</v>
      </c>
      <c r="B351" s="44" t="s">
        <v>475</v>
      </c>
      <c r="C351" t="s">
        <v>70</v>
      </c>
      <c r="D351" t="s">
        <v>504</v>
      </c>
      <c r="E351" t="s">
        <v>506</v>
      </c>
      <c r="F351" s="48">
        <v>120000</v>
      </c>
      <c r="G351" s="49">
        <v>120000</v>
      </c>
      <c r="H351" s="49">
        <v>90000</v>
      </c>
      <c r="I351" s="49">
        <v>60000</v>
      </c>
    </row>
    <row r="352" spans="1:9" ht="16">
      <c r="A352" t="s">
        <v>134</v>
      </c>
      <c r="B352" s="44" t="s">
        <v>475</v>
      </c>
      <c r="C352" t="s">
        <v>70</v>
      </c>
      <c r="D352" t="s">
        <v>504</v>
      </c>
      <c r="E352" t="s">
        <v>507</v>
      </c>
      <c r="F352" s="48">
        <v>120000</v>
      </c>
      <c r="G352" s="49">
        <v>120000</v>
      </c>
      <c r="H352" s="49">
        <v>90000</v>
      </c>
      <c r="I352" s="49">
        <v>60000</v>
      </c>
    </row>
    <row r="353" spans="1:9" ht="16">
      <c r="A353" t="s">
        <v>134</v>
      </c>
      <c r="B353" s="44" t="s">
        <v>475</v>
      </c>
      <c r="C353" t="s">
        <v>70</v>
      </c>
      <c r="D353" t="s">
        <v>504</v>
      </c>
      <c r="E353" t="s">
        <v>508</v>
      </c>
      <c r="F353" s="48">
        <v>120000</v>
      </c>
      <c r="G353" s="49">
        <v>120000</v>
      </c>
      <c r="H353" s="49">
        <v>90000</v>
      </c>
      <c r="I353" s="49">
        <v>60000</v>
      </c>
    </row>
    <row r="354" spans="1:9" ht="16">
      <c r="A354" t="s">
        <v>134</v>
      </c>
      <c r="B354" s="44" t="s">
        <v>475</v>
      </c>
      <c r="C354" t="s">
        <v>70</v>
      </c>
      <c r="D354" t="s">
        <v>504</v>
      </c>
      <c r="E354" t="s">
        <v>509</v>
      </c>
      <c r="F354" s="48">
        <v>180000</v>
      </c>
      <c r="G354" s="49">
        <v>180000</v>
      </c>
      <c r="H354" s="49">
        <v>135000</v>
      </c>
      <c r="I354" s="49">
        <v>90000</v>
      </c>
    </row>
    <row r="355" spans="1:9" ht="16">
      <c r="A355" t="s">
        <v>134</v>
      </c>
      <c r="B355" s="44" t="s">
        <v>475</v>
      </c>
      <c r="C355" t="s">
        <v>70</v>
      </c>
      <c r="D355" t="s">
        <v>504</v>
      </c>
      <c r="E355" t="s">
        <v>510</v>
      </c>
      <c r="F355" s="48">
        <v>120000</v>
      </c>
      <c r="G355" s="49">
        <v>120000</v>
      </c>
      <c r="H355" s="49">
        <v>90000</v>
      </c>
      <c r="I355" s="49">
        <v>60000</v>
      </c>
    </row>
    <row r="356" spans="1:9" ht="16">
      <c r="A356" t="s">
        <v>134</v>
      </c>
      <c r="B356" s="44" t="s">
        <v>475</v>
      </c>
      <c r="C356" t="s">
        <v>70</v>
      </c>
      <c r="D356" t="s">
        <v>504</v>
      </c>
      <c r="E356" t="s">
        <v>511</v>
      </c>
      <c r="F356" s="48">
        <v>120000</v>
      </c>
      <c r="G356" s="49">
        <v>120000</v>
      </c>
      <c r="H356" s="49">
        <v>90000</v>
      </c>
      <c r="I356" s="49">
        <v>60000</v>
      </c>
    </row>
    <row r="357" spans="1:9" ht="16">
      <c r="A357" t="s">
        <v>134</v>
      </c>
      <c r="B357" s="44" t="s">
        <v>475</v>
      </c>
      <c r="C357" t="s">
        <v>70</v>
      </c>
      <c r="D357" t="s">
        <v>504</v>
      </c>
      <c r="E357" t="s">
        <v>512</v>
      </c>
      <c r="F357" s="48">
        <v>120000</v>
      </c>
      <c r="G357" s="49">
        <v>120000</v>
      </c>
      <c r="H357" s="49">
        <v>90000</v>
      </c>
      <c r="I357" s="49">
        <v>60000</v>
      </c>
    </row>
    <row r="358" spans="1:9" ht="16">
      <c r="A358" t="s">
        <v>134</v>
      </c>
      <c r="B358" s="44" t="s">
        <v>475</v>
      </c>
      <c r="C358" t="s">
        <v>70</v>
      </c>
      <c r="D358" t="s">
        <v>504</v>
      </c>
      <c r="E358" t="s">
        <v>513</v>
      </c>
      <c r="F358" s="48">
        <v>120000</v>
      </c>
      <c r="G358" s="49">
        <v>120000</v>
      </c>
      <c r="H358" s="49">
        <v>90000</v>
      </c>
      <c r="I358" s="49">
        <v>60000</v>
      </c>
    </row>
    <row r="359" spans="1:9" ht="16">
      <c r="A359" t="s">
        <v>134</v>
      </c>
      <c r="B359" s="44" t="s">
        <v>475</v>
      </c>
      <c r="C359" t="s">
        <v>70</v>
      </c>
      <c r="D359" t="s">
        <v>504</v>
      </c>
      <c r="E359" t="s">
        <v>514</v>
      </c>
      <c r="F359" s="48">
        <v>120000</v>
      </c>
      <c r="G359" s="49">
        <v>120000</v>
      </c>
      <c r="H359" s="49">
        <v>90000</v>
      </c>
      <c r="I359" s="49">
        <v>60000</v>
      </c>
    </row>
    <row r="360" spans="1:9" ht="16">
      <c r="A360" t="s">
        <v>134</v>
      </c>
      <c r="B360" s="44" t="s">
        <v>18</v>
      </c>
      <c r="C360" t="s">
        <v>64</v>
      </c>
      <c r="D360" t="s">
        <v>515</v>
      </c>
      <c r="E360" t="s">
        <v>516</v>
      </c>
      <c r="F360" s="48">
        <v>120000</v>
      </c>
      <c r="G360" s="49">
        <v>120000</v>
      </c>
      <c r="H360" s="49">
        <v>90000</v>
      </c>
      <c r="I360" s="49">
        <v>60000</v>
      </c>
    </row>
    <row r="361" spans="1:9" ht="16">
      <c r="A361" t="s">
        <v>134</v>
      </c>
      <c r="B361" s="44" t="s">
        <v>18</v>
      </c>
      <c r="C361" t="s">
        <v>64</v>
      </c>
      <c r="D361" t="s">
        <v>515</v>
      </c>
      <c r="E361" t="s">
        <v>517</v>
      </c>
      <c r="F361" s="48">
        <v>120000</v>
      </c>
      <c r="G361" s="49">
        <v>120000</v>
      </c>
      <c r="H361" s="49">
        <v>90000</v>
      </c>
      <c r="I361" s="49">
        <v>60000</v>
      </c>
    </row>
    <row r="362" spans="1:9" ht="16">
      <c r="A362" t="s">
        <v>134</v>
      </c>
      <c r="B362" s="44" t="s">
        <v>18</v>
      </c>
      <c r="C362" t="s">
        <v>64</v>
      </c>
      <c r="D362" t="s">
        <v>515</v>
      </c>
      <c r="E362" t="s">
        <v>518</v>
      </c>
      <c r="F362" s="48">
        <v>180000</v>
      </c>
      <c r="G362" s="49">
        <v>180000</v>
      </c>
      <c r="H362" s="49">
        <v>135000</v>
      </c>
      <c r="I362" s="49">
        <v>90000</v>
      </c>
    </row>
    <row r="363" spans="1:9" ht="16">
      <c r="A363" t="s">
        <v>134</v>
      </c>
      <c r="B363" s="44" t="s">
        <v>18</v>
      </c>
      <c r="C363" t="s">
        <v>64</v>
      </c>
      <c r="D363" t="s">
        <v>515</v>
      </c>
      <c r="E363" t="s">
        <v>519</v>
      </c>
      <c r="F363" s="48">
        <v>150000</v>
      </c>
      <c r="G363" s="49">
        <v>150000</v>
      </c>
      <c r="H363" s="49">
        <v>112500</v>
      </c>
      <c r="I363" s="49">
        <v>75000</v>
      </c>
    </row>
    <row r="364" spans="1:9" ht="16">
      <c r="A364" t="s">
        <v>134</v>
      </c>
      <c r="B364" s="44" t="s">
        <v>18</v>
      </c>
      <c r="C364" t="s">
        <v>64</v>
      </c>
      <c r="D364" t="s">
        <v>515</v>
      </c>
      <c r="E364" t="s">
        <v>520</v>
      </c>
      <c r="F364" s="48">
        <v>150000</v>
      </c>
      <c r="G364" s="49">
        <v>150000</v>
      </c>
      <c r="H364" s="49">
        <v>112500</v>
      </c>
      <c r="I364" s="49">
        <v>75000</v>
      </c>
    </row>
    <row r="365" spans="1:9" ht="16">
      <c r="A365" t="s">
        <v>134</v>
      </c>
      <c r="B365" s="44" t="s">
        <v>18</v>
      </c>
      <c r="C365" t="s">
        <v>64</v>
      </c>
      <c r="D365" t="s">
        <v>515</v>
      </c>
      <c r="E365" t="s">
        <v>521</v>
      </c>
      <c r="F365" s="48">
        <v>120000</v>
      </c>
      <c r="G365" s="49">
        <v>120000</v>
      </c>
      <c r="H365" s="49">
        <v>90000</v>
      </c>
      <c r="I365" s="49">
        <v>60000</v>
      </c>
    </row>
    <row r="366" spans="1:9" ht="16">
      <c r="A366" t="s">
        <v>134</v>
      </c>
      <c r="B366" s="44" t="s">
        <v>18</v>
      </c>
      <c r="C366" t="s">
        <v>64</v>
      </c>
      <c r="D366" t="s">
        <v>522</v>
      </c>
      <c r="E366" t="s">
        <v>523</v>
      </c>
      <c r="F366" s="48">
        <v>120000</v>
      </c>
      <c r="G366" s="49">
        <v>120000</v>
      </c>
      <c r="H366" s="49">
        <v>90000</v>
      </c>
      <c r="I366" s="49">
        <v>60000</v>
      </c>
    </row>
    <row r="367" spans="1:9" ht="16">
      <c r="A367" t="s">
        <v>134</v>
      </c>
      <c r="B367" s="44" t="s">
        <v>18</v>
      </c>
      <c r="C367" t="s">
        <v>64</v>
      </c>
      <c r="D367" t="s">
        <v>522</v>
      </c>
      <c r="E367" t="s">
        <v>524</v>
      </c>
      <c r="F367" s="48">
        <v>180000</v>
      </c>
      <c r="G367" s="49">
        <v>180000</v>
      </c>
      <c r="H367" s="49">
        <v>135000</v>
      </c>
      <c r="I367" s="49">
        <v>90000</v>
      </c>
    </row>
    <row r="368" spans="1:9" ht="16">
      <c r="A368" t="s">
        <v>134</v>
      </c>
      <c r="B368" s="44" t="s">
        <v>18</v>
      </c>
      <c r="C368" t="s">
        <v>64</v>
      </c>
      <c r="D368" t="s">
        <v>522</v>
      </c>
      <c r="E368" t="s">
        <v>525</v>
      </c>
      <c r="F368" s="48">
        <v>150000</v>
      </c>
      <c r="G368" s="49">
        <v>150000</v>
      </c>
      <c r="H368" s="49">
        <v>112500</v>
      </c>
      <c r="I368" s="49">
        <v>75000</v>
      </c>
    </row>
    <row r="369" spans="1:9" ht="16">
      <c r="A369" t="s">
        <v>134</v>
      </c>
      <c r="B369" s="44" t="s">
        <v>18</v>
      </c>
      <c r="C369" t="s">
        <v>64</v>
      </c>
      <c r="D369" t="s">
        <v>522</v>
      </c>
      <c r="E369" t="s">
        <v>526</v>
      </c>
      <c r="F369" s="48">
        <v>150000</v>
      </c>
      <c r="G369" s="49">
        <v>150000</v>
      </c>
      <c r="H369" s="49">
        <v>112500</v>
      </c>
      <c r="I369" s="49">
        <v>75000</v>
      </c>
    </row>
    <row r="370" spans="1:9" ht="16">
      <c r="A370" t="s">
        <v>134</v>
      </c>
      <c r="B370" s="44" t="s">
        <v>18</v>
      </c>
      <c r="C370" t="s">
        <v>64</v>
      </c>
      <c r="D370" t="s">
        <v>522</v>
      </c>
      <c r="E370" t="s">
        <v>527</v>
      </c>
      <c r="F370" s="48">
        <v>150000</v>
      </c>
      <c r="G370" s="49">
        <v>150000</v>
      </c>
      <c r="H370" s="49">
        <v>112500</v>
      </c>
      <c r="I370" s="49">
        <v>75000</v>
      </c>
    </row>
    <row r="371" spans="1:9" ht="16">
      <c r="A371" t="s">
        <v>134</v>
      </c>
      <c r="B371" s="44" t="s">
        <v>18</v>
      </c>
      <c r="C371" t="s">
        <v>64</v>
      </c>
      <c r="D371" t="s">
        <v>522</v>
      </c>
      <c r="E371" t="s">
        <v>528</v>
      </c>
      <c r="F371" s="48">
        <v>150000</v>
      </c>
      <c r="G371" s="49">
        <v>150000</v>
      </c>
      <c r="H371" s="49">
        <v>112500</v>
      </c>
      <c r="I371" s="49">
        <v>75000</v>
      </c>
    </row>
    <row r="372" spans="1:9" ht="16">
      <c r="A372" t="s">
        <v>134</v>
      </c>
      <c r="B372" s="44" t="s">
        <v>18</v>
      </c>
      <c r="C372" t="s">
        <v>64</v>
      </c>
      <c r="D372" t="s">
        <v>522</v>
      </c>
      <c r="E372" t="s">
        <v>529</v>
      </c>
      <c r="F372" s="48">
        <v>150000</v>
      </c>
      <c r="G372" s="49">
        <v>150000</v>
      </c>
      <c r="H372" s="49">
        <v>112500</v>
      </c>
      <c r="I372" s="49">
        <v>75000</v>
      </c>
    </row>
    <row r="373" spans="1:9" ht="16">
      <c r="A373" t="s">
        <v>134</v>
      </c>
      <c r="B373" s="44" t="s">
        <v>18</v>
      </c>
      <c r="C373" t="s">
        <v>61</v>
      </c>
      <c r="D373" t="s">
        <v>530</v>
      </c>
      <c r="E373" t="s">
        <v>531</v>
      </c>
      <c r="F373" s="48">
        <v>180000</v>
      </c>
      <c r="G373" s="49">
        <v>180000</v>
      </c>
      <c r="H373" s="49">
        <v>135000</v>
      </c>
      <c r="I373" s="49">
        <v>90000</v>
      </c>
    </row>
    <row r="374" spans="1:9" ht="16">
      <c r="A374" t="s">
        <v>134</v>
      </c>
      <c r="B374" s="44" t="s">
        <v>18</v>
      </c>
      <c r="C374" t="s">
        <v>61</v>
      </c>
      <c r="D374" t="s">
        <v>530</v>
      </c>
      <c r="E374" t="s">
        <v>532</v>
      </c>
      <c r="F374" s="48">
        <v>150000</v>
      </c>
      <c r="G374" s="49">
        <v>150000</v>
      </c>
      <c r="H374" s="49">
        <v>112500</v>
      </c>
      <c r="I374" s="49">
        <v>75000</v>
      </c>
    </row>
    <row r="375" spans="1:9" ht="16">
      <c r="A375" t="s">
        <v>134</v>
      </c>
      <c r="B375" s="44" t="s">
        <v>18</v>
      </c>
      <c r="C375" t="s">
        <v>61</v>
      </c>
      <c r="D375" t="s">
        <v>530</v>
      </c>
      <c r="E375" t="s">
        <v>126</v>
      </c>
      <c r="F375" s="48">
        <v>120000</v>
      </c>
      <c r="G375" s="49">
        <v>120000</v>
      </c>
      <c r="H375" s="49">
        <v>90000</v>
      </c>
      <c r="I375" s="49">
        <v>60000</v>
      </c>
    </row>
    <row r="376" spans="1:9" ht="16">
      <c r="A376" t="s">
        <v>134</v>
      </c>
      <c r="B376" s="44" t="s">
        <v>18</v>
      </c>
      <c r="C376" t="s">
        <v>61</v>
      </c>
      <c r="D376" t="s">
        <v>530</v>
      </c>
      <c r="E376" t="s">
        <v>533</v>
      </c>
      <c r="F376" s="48">
        <v>120000</v>
      </c>
      <c r="G376" s="49">
        <v>120000</v>
      </c>
      <c r="H376" s="49">
        <v>90000</v>
      </c>
      <c r="I376" s="49">
        <v>60000</v>
      </c>
    </row>
    <row r="377" spans="1:9" ht="16">
      <c r="A377" t="s">
        <v>134</v>
      </c>
      <c r="B377" s="44" t="s">
        <v>18</v>
      </c>
      <c r="C377" t="s">
        <v>61</v>
      </c>
      <c r="D377" t="s">
        <v>530</v>
      </c>
      <c r="E377" t="s">
        <v>534</v>
      </c>
      <c r="F377" s="48">
        <v>180000</v>
      </c>
      <c r="G377" s="49">
        <v>180000</v>
      </c>
      <c r="H377" s="49">
        <v>135000</v>
      </c>
      <c r="I377" s="49">
        <v>90000</v>
      </c>
    </row>
    <row r="378" spans="1:9" ht="16">
      <c r="A378" t="s">
        <v>134</v>
      </c>
      <c r="B378" s="44" t="s">
        <v>18</v>
      </c>
      <c r="C378" t="s">
        <v>61</v>
      </c>
      <c r="D378" t="s">
        <v>530</v>
      </c>
      <c r="E378" t="s">
        <v>535</v>
      </c>
      <c r="F378" s="48">
        <v>150000</v>
      </c>
      <c r="G378" s="49">
        <v>150000</v>
      </c>
      <c r="H378" s="49">
        <v>112500</v>
      </c>
      <c r="I378" s="49">
        <v>75000</v>
      </c>
    </row>
    <row r="379" spans="1:9" ht="16">
      <c r="A379" t="s">
        <v>134</v>
      </c>
      <c r="B379" s="44" t="s">
        <v>18</v>
      </c>
      <c r="C379" t="s">
        <v>61</v>
      </c>
      <c r="D379" t="s">
        <v>536</v>
      </c>
      <c r="E379" t="s">
        <v>537</v>
      </c>
      <c r="F379" s="48">
        <v>120000</v>
      </c>
      <c r="G379" s="49">
        <v>120000</v>
      </c>
      <c r="H379" s="49">
        <v>90000</v>
      </c>
      <c r="I379" s="49">
        <v>60000</v>
      </c>
    </row>
    <row r="380" spans="1:9" ht="16">
      <c r="A380" t="s">
        <v>134</v>
      </c>
      <c r="B380" s="44" t="s">
        <v>18</v>
      </c>
      <c r="C380" t="s">
        <v>61</v>
      </c>
      <c r="D380" t="s">
        <v>536</v>
      </c>
      <c r="E380" t="s">
        <v>538</v>
      </c>
      <c r="F380" s="48">
        <v>150000</v>
      </c>
      <c r="G380" s="49">
        <v>150000</v>
      </c>
      <c r="H380" s="49">
        <v>112500</v>
      </c>
      <c r="I380" s="49">
        <v>75000</v>
      </c>
    </row>
    <row r="381" spans="1:9" ht="16">
      <c r="A381" t="s">
        <v>134</v>
      </c>
      <c r="B381" s="44" t="s">
        <v>18</v>
      </c>
      <c r="C381" t="s">
        <v>61</v>
      </c>
      <c r="D381" t="s">
        <v>536</v>
      </c>
      <c r="E381" t="s">
        <v>539</v>
      </c>
      <c r="F381" s="48">
        <v>180000</v>
      </c>
      <c r="G381" s="49">
        <v>180000</v>
      </c>
      <c r="H381" s="49">
        <v>135000</v>
      </c>
      <c r="I381" s="49">
        <v>90000</v>
      </c>
    </row>
    <row r="382" spans="1:9" ht="16">
      <c r="A382" t="s">
        <v>134</v>
      </c>
      <c r="B382" s="44" t="s">
        <v>18</v>
      </c>
      <c r="C382" t="s">
        <v>61</v>
      </c>
      <c r="D382" t="s">
        <v>536</v>
      </c>
      <c r="E382" t="s">
        <v>540</v>
      </c>
      <c r="F382" s="48">
        <v>150000</v>
      </c>
      <c r="G382" s="49">
        <v>150000</v>
      </c>
      <c r="H382" s="49">
        <v>112500</v>
      </c>
      <c r="I382" s="49">
        <v>75000</v>
      </c>
    </row>
    <row r="383" spans="1:9" ht="16">
      <c r="A383" t="s">
        <v>134</v>
      </c>
      <c r="B383" s="44" t="s">
        <v>18</v>
      </c>
      <c r="C383" t="s">
        <v>61</v>
      </c>
      <c r="D383" t="s">
        <v>536</v>
      </c>
      <c r="E383" t="s">
        <v>541</v>
      </c>
      <c r="F383" s="48">
        <v>150000</v>
      </c>
      <c r="G383" s="49">
        <v>150000</v>
      </c>
      <c r="H383" s="49">
        <v>112500</v>
      </c>
      <c r="I383" s="49">
        <v>75000</v>
      </c>
    </row>
    <row r="384" spans="1:9" ht="16">
      <c r="A384" t="s">
        <v>134</v>
      </c>
      <c r="B384" s="44" t="s">
        <v>18</v>
      </c>
      <c r="C384" t="s">
        <v>61</v>
      </c>
      <c r="D384" t="s">
        <v>536</v>
      </c>
      <c r="E384" t="s">
        <v>542</v>
      </c>
      <c r="F384" s="48">
        <v>120000</v>
      </c>
      <c r="G384" s="49">
        <v>120000</v>
      </c>
      <c r="H384" s="49">
        <v>90000</v>
      </c>
      <c r="I384" s="49">
        <v>60000</v>
      </c>
    </row>
    <row r="385" spans="1:9" ht="16">
      <c r="A385" t="s">
        <v>134</v>
      </c>
      <c r="B385" s="44" t="s">
        <v>18</v>
      </c>
      <c r="C385" t="s">
        <v>61</v>
      </c>
      <c r="D385" t="s">
        <v>543</v>
      </c>
      <c r="E385" t="s">
        <v>544</v>
      </c>
      <c r="F385" s="48">
        <v>150000</v>
      </c>
      <c r="G385" s="49">
        <v>150000</v>
      </c>
      <c r="H385" s="49">
        <v>112500</v>
      </c>
      <c r="I385" s="49">
        <v>75000</v>
      </c>
    </row>
    <row r="386" spans="1:9" ht="16">
      <c r="A386" t="s">
        <v>134</v>
      </c>
      <c r="B386" s="44" t="s">
        <v>18</v>
      </c>
      <c r="C386" t="s">
        <v>61</v>
      </c>
      <c r="D386" t="s">
        <v>543</v>
      </c>
      <c r="E386" t="s">
        <v>545</v>
      </c>
      <c r="F386" s="48">
        <v>120000</v>
      </c>
      <c r="G386" s="49">
        <v>120000</v>
      </c>
      <c r="H386" s="49">
        <v>90000</v>
      </c>
      <c r="I386" s="49">
        <v>60000</v>
      </c>
    </row>
    <row r="387" spans="1:9" ht="16">
      <c r="A387" t="s">
        <v>134</v>
      </c>
      <c r="B387" s="44" t="s">
        <v>18</v>
      </c>
      <c r="C387" t="s">
        <v>61</v>
      </c>
      <c r="D387" t="s">
        <v>543</v>
      </c>
      <c r="E387" t="s">
        <v>546</v>
      </c>
      <c r="F387" s="48">
        <v>150000</v>
      </c>
      <c r="G387" s="49">
        <v>150000</v>
      </c>
      <c r="H387" s="49">
        <v>112500</v>
      </c>
      <c r="I387" s="49">
        <v>75000</v>
      </c>
    </row>
    <row r="388" spans="1:9" ht="16">
      <c r="A388" t="s">
        <v>134</v>
      </c>
      <c r="B388" s="44" t="s">
        <v>18</v>
      </c>
      <c r="C388" t="s">
        <v>61</v>
      </c>
      <c r="D388" t="s">
        <v>543</v>
      </c>
      <c r="E388" t="s">
        <v>547</v>
      </c>
      <c r="F388" s="48">
        <v>180000</v>
      </c>
      <c r="G388" s="49">
        <v>180000</v>
      </c>
      <c r="H388" s="49">
        <v>135000</v>
      </c>
      <c r="I388" s="49">
        <v>90000</v>
      </c>
    </row>
    <row r="389" spans="1:9" ht="16">
      <c r="A389" t="s">
        <v>134</v>
      </c>
      <c r="B389" s="44" t="s">
        <v>18</v>
      </c>
      <c r="C389" t="s">
        <v>61</v>
      </c>
      <c r="D389" t="s">
        <v>543</v>
      </c>
      <c r="E389" t="s">
        <v>548</v>
      </c>
      <c r="F389" s="48">
        <v>150000</v>
      </c>
      <c r="G389" s="49">
        <v>150000</v>
      </c>
      <c r="H389" s="49">
        <v>112500</v>
      </c>
      <c r="I389" s="49">
        <v>75000</v>
      </c>
    </row>
    <row r="390" spans="1:9" ht="16">
      <c r="A390" t="s">
        <v>134</v>
      </c>
      <c r="B390" s="44" t="s">
        <v>18</v>
      </c>
      <c r="C390" t="s">
        <v>61</v>
      </c>
      <c r="D390" t="s">
        <v>543</v>
      </c>
      <c r="E390" t="s">
        <v>549</v>
      </c>
      <c r="F390" s="48">
        <v>120000</v>
      </c>
      <c r="G390" s="49">
        <v>120000</v>
      </c>
      <c r="H390" s="49">
        <v>90000</v>
      </c>
      <c r="I390" s="49">
        <v>60000</v>
      </c>
    </row>
    <row r="391" spans="1:9" ht="16">
      <c r="A391" t="s">
        <v>134</v>
      </c>
      <c r="B391" s="44" t="s">
        <v>18</v>
      </c>
      <c r="C391" t="s">
        <v>61</v>
      </c>
      <c r="D391" t="s">
        <v>543</v>
      </c>
      <c r="E391" t="s">
        <v>550</v>
      </c>
      <c r="F391" s="48">
        <v>150000</v>
      </c>
      <c r="G391" s="49">
        <v>150000</v>
      </c>
      <c r="H391" s="49">
        <v>112500</v>
      </c>
      <c r="I391" s="49">
        <v>75000</v>
      </c>
    </row>
    <row r="392" spans="1:9" ht="16">
      <c r="A392" t="s">
        <v>134</v>
      </c>
      <c r="B392" s="44" t="s">
        <v>18</v>
      </c>
      <c r="C392" t="s">
        <v>61</v>
      </c>
      <c r="D392" t="s">
        <v>543</v>
      </c>
      <c r="E392" t="s">
        <v>551</v>
      </c>
      <c r="F392" s="48">
        <v>150000</v>
      </c>
      <c r="G392" s="49">
        <v>150000</v>
      </c>
      <c r="H392" s="49">
        <v>112500</v>
      </c>
      <c r="I392" s="49">
        <v>75000</v>
      </c>
    </row>
    <row r="393" spans="1:9" ht="16">
      <c r="A393" t="s">
        <v>134</v>
      </c>
      <c r="B393" s="44" t="s">
        <v>18</v>
      </c>
      <c r="C393" t="s">
        <v>61</v>
      </c>
      <c r="D393" t="s">
        <v>543</v>
      </c>
      <c r="E393" t="s">
        <v>552</v>
      </c>
      <c r="F393" s="48">
        <v>120000</v>
      </c>
      <c r="G393" s="49">
        <v>120000</v>
      </c>
      <c r="H393" s="49">
        <v>90000</v>
      </c>
      <c r="I393" s="49">
        <v>60000</v>
      </c>
    </row>
    <row r="394" spans="1:9" ht="16">
      <c r="A394" t="s">
        <v>134</v>
      </c>
      <c r="B394" s="44" t="s">
        <v>18</v>
      </c>
      <c r="C394" t="s">
        <v>61</v>
      </c>
      <c r="D394" t="s">
        <v>543</v>
      </c>
      <c r="E394" t="s">
        <v>553</v>
      </c>
      <c r="F394" s="48">
        <v>120000</v>
      </c>
      <c r="G394" s="49">
        <v>120000</v>
      </c>
      <c r="H394" s="49">
        <v>90000</v>
      </c>
      <c r="I394" s="49">
        <v>60000</v>
      </c>
    </row>
    <row r="395" spans="1:9" ht="16">
      <c r="A395" t="s">
        <v>134</v>
      </c>
      <c r="B395" s="44" t="s">
        <v>18</v>
      </c>
      <c r="C395" t="s">
        <v>63</v>
      </c>
      <c r="D395" t="s">
        <v>554</v>
      </c>
      <c r="E395" t="s">
        <v>555</v>
      </c>
      <c r="F395" s="48">
        <v>150000</v>
      </c>
      <c r="G395" s="49">
        <v>150000</v>
      </c>
      <c r="H395" s="49">
        <v>112500</v>
      </c>
      <c r="I395" s="49">
        <v>75000</v>
      </c>
    </row>
    <row r="396" spans="1:9" ht="16">
      <c r="A396" t="s">
        <v>134</v>
      </c>
      <c r="B396" s="44" t="s">
        <v>18</v>
      </c>
      <c r="C396" t="s">
        <v>63</v>
      </c>
      <c r="D396" t="s">
        <v>554</v>
      </c>
      <c r="E396" t="s">
        <v>556</v>
      </c>
      <c r="F396" s="48">
        <v>180000</v>
      </c>
      <c r="G396" s="49">
        <v>180000</v>
      </c>
      <c r="H396" s="49">
        <v>135000</v>
      </c>
      <c r="I396" s="49">
        <v>90000</v>
      </c>
    </row>
    <row r="397" spans="1:9" ht="16">
      <c r="A397" t="s">
        <v>134</v>
      </c>
      <c r="B397" s="44" t="s">
        <v>18</v>
      </c>
      <c r="C397" t="s">
        <v>63</v>
      </c>
      <c r="D397" t="s">
        <v>554</v>
      </c>
      <c r="E397" t="s">
        <v>557</v>
      </c>
      <c r="F397" s="48">
        <v>120000</v>
      </c>
      <c r="G397" s="49">
        <v>120000</v>
      </c>
      <c r="H397" s="49">
        <v>90000</v>
      </c>
      <c r="I397" s="49">
        <v>60000</v>
      </c>
    </row>
    <row r="398" spans="1:9" ht="16">
      <c r="A398" t="s">
        <v>134</v>
      </c>
      <c r="B398" s="44" t="s">
        <v>18</v>
      </c>
      <c r="C398" t="s">
        <v>63</v>
      </c>
      <c r="D398" t="s">
        <v>554</v>
      </c>
      <c r="E398" t="s">
        <v>558</v>
      </c>
      <c r="F398" s="48">
        <v>180000</v>
      </c>
      <c r="G398" s="49">
        <v>180000</v>
      </c>
      <c r="H398" s="49">
        <v>135000</v>
      </c>
      <c r="I398" s="49">
        <v>90000</v>
      </c>
    </row>
    <row r="399" spans="1:9" ht="16">
      <c r="A399" t="s">
        <v>134</v>
      </c>
      <c r="B399" s="44" t="s">
        <v>18</v>
      </c>
      <c r="C399" t="s">
        <v>63</v>
      </c>
      <c r="D399" t="s">
        <v>554</v>
      </c>
      <c r="E399" t="s">
        <v>559</v>
      </c>
      <c r="F399" s="48">
        <v>180000</v>
      </c>
      <c r="G399" s="49">
        <v>180000</v>
      </c>
      <c r="H399" s="49">
        <v>135000</v>
      </c>
      <c r="I399" s="49">
        <v>90000</v>
      </c>
    </row>
    <row r="400" spans="1:9" ht="16">
      <c r="A400" t="s">
        <v>134</v>
      </c>
      <c r="B400" s="44" t="s">
        <v>18</v>
      </c>
      <c r="C400" t="s">
        <v>63</v>
      </c>
      <c r="D400" t="s">
        <v>554</v>
      </c>
      <c r="E400" t="s">
        <v>560</v>
      </c>
      <c r="F400" s="48">
        <v>150000</v>
      </c>
      <c r="G400" s="49">
        <v>150000</v>
      </c>
      <c r="H400" s="49">
        <v>112500</v>
      </c>
      <c r="I400" s="49">
        <v>75000</v>
      </c>
    </row>
    <row r="401" spans="1:9" ht="16">
      <c r="A401" t="s">
        <v>134</v>
      </c>
      <c r="B401" s="44" t="s">
        <v>18</v>
      </c>
      <c r="C401" t="s">
        <v>63</v>
      </c>
      <c r="D401" t="s">
        <v>554</v>
      </c>
      <c r="E401" t="s">
        <v>561</v>
      </c>
      <c r="F401" s="48">
        <v>120000</v>
      </c>
      <c r="G401" s="49">
        <v>120000</v>
      </c>
      <c r="H401" s="49">
        <v>90000</v>
      </c>
      <c r="I401" s="49">
        <v>60000</v>
      </c>
    </row>
    <row r="402" spans="1:9" ht="16">
      <c r="A402" t="s">
        <v>134</v>
      </c>
      <c r="B402" s="44" t="s">
        <v>18</v>
      </c>
      <c r="C402" t="s">
        <v>63</v>
      </c>
      <c r="D402" t="s">
        <v>554</v>
      </c>
      <c r="E402" t="s">
        <v>124</v>
      </c>
      <c r="F402" s="48">
        <v>120000</v>
      </c>
      <c r="G402" s="49">
        <v>120000</v>
      </c>
      <c r="H402" s="49">
        <v>90000</v>
      </c>
      <c r="I402" s="49">
        <v>60000</v>
      </c>
    </row>
    <row r="403" spans="1:9" ht="16">
      <c r="A403" t="s">
        <v>134</v>
      </c>
      <c r="B403" s="44" t="s">
        <v>18</v>
      </c>
      <c r="C403" t="s">
        <v>63</v>
      </c>
      <c r="D403" t="s">
        <v>554</v>
      </c>
      <c r="E403" t="s">
        <v>562</v>
      </c>
      <c r="F403" s="48">
        <v>180000</v>
      </c>
      <c r="G403" s="49">
        <v>180000</v>
      </c>
      <c r="H403" s="49">
        <v>135000</v>
      </c>
      <c r="I403" s="49">
        <v>90000</v>
      </c>
    </row>
    <row r="404" spans="1:9" ht="16">
      <c r="A404" t="s">
        <v>134</v>
      </c>
      <c r="B404" s="44" t="s">
        <v>18</v>
      </c>
      <c r="C404" t="s">
        <v>63</v>
      </c>
      <c r="D404" t="s">
        <v>554</v>
      </c>
      <c r="E404" t="s">
        <v>563</v>
      </c>
      <c r="F404" s="48">
        <v>120000</v>
      </c>
      <c r="G404" s="49">
        <v>120000</v>
      </c>
      <c r="H404" s="49">
        <v>90000</v>
      </c>
      <c r="I404" s="49">
        <v>60000</v>
      </c>
    </row>
    <row r="405" spans="1:9" ht="16">
      <c r="A405" t="s">
        <v>134</v>
      </c>
      <c r="B405" s="44" t="s">
        <v>18</v>
      </c>
      <c r="C405" t="s">
        <v>63</v>
      </c>
      <c r="D405" t="s">
        <v>554</v>
      </c>
      <c r="E405" t="s">
        <v>564</v>
      </c>
      <c r="F405" s="48">
        <v>150000</v>
      </c>
      <c r="G405" s="49">
        <v>150000</v>
      </c>
      <c r="H405" s="49">
        <v>112500</v>
      </c>
      <c r="I405" s="49">
        <v>75000</v>
      </c>
    </row>
    <row r="406" spans="1:9" ht="16">
      <c r="A406" t="s">
        <v>134</v>
      </c>
      <c r="B406" s="44" t="s">
        <v>18</v>
      </c>
      <c r="C406" t="s">
        <v>63</v>
      </c>
      <c r="D406" t="s">
        <v>554</v>
      </c>
      <c r="E406" t="s">
        <v>565</v>
      </c>
      <c r="F406" s="48">
        <v>120000</v>
      </c>
      <c r="G406" s="49">
        <v>120000</v>
      </c>
      <c r="H406" s="49">
        <v>90000</v>
      </c>
      <c r="I406" s="49">
        <v>60000</v>
      </c>
    </row>
    <row r="407" spans="1:9" ht="16">
      <c r="A407" t="s">
        <v>134</v>
      </c>
      <c r="B407" s="44" t="s">
        <v>18</v>
      </c>
      <c r="C407" t="s">
        <v>63</v>
      </c>
      <c r="D407" t="s">
        <v>554</v>
      </c>
      <c r="E407" t="s">
        <v>566</v>
      </c>
      <c r="F407" s="48">
        <v>120000</v>
      </c>
      <c r="G407" s="49">
        <v>120000</v>
      </c>
      <c r="H407" s="49">
        <v>90000</v>
      </c>
      <c r="I407" s="49">
        <v>60000</v>
      </c>
    </row>
    <row r="408" spans="1:9" ht="16">
      <c r="A408" t="s">
        <v>134</v>
      </c>
      <c r="B408" s="44" t="s">
        <v>18</v>
      </c>
      <c r="C408" t="s">
        <v>63</v>
      </c>
      <c r="D408" t="s">
        <v>554</v>
      </c>
      <c r="E408" t="s">
        <v>567</v>
      </c>
      <c r="F408" s="48">
        <v>180000</v>
      </c>
      <c r="G408" s="49">
        <v>180000</v>
      </c>
      <c r="H408" s="49">
        <v>135000</v>
      </c>
      <c r="I408" s="49">
        <v>90000</v>
      </c>
    </row>
    <row r="409" spans="1:9" ht="16">
      <c r="A409" t="s">
        <v>134</v>
      </c>
      <c r="B409" s="44" t="s">
        <v>18</v>
      </c>
      <c r="C409" t="s">
        <v>59</v>
      </c>
      <c r="D409" t="s">
        <v>568</v>
      </c>
      <c r="E409" t="s">
        <v>569</v>
      </c>
      <c r="F409" s="48">
        <v>150000</v>
      </c>
      <c r="G409" s="49">
        <v>150000</v>
      </c>
      <c r="H409" s="49">
        <v>112500</v>
      </c>
      <c r="I409" s="49">
        <v>75000</v>
      </c>
    </row>
    <row r="410" spans="1:9" ht="16">
      <c r="A410" t="s">
        <v>134</v>
      </c>
      <c r="B410" s="44" t="s">
        <v>18</v>
      </c>
      <c r="C410" t="s">
        <v>59</v>
      </c>
      <c r="D410" t="s">
        <v>568</v>
      </c>
      <c r="E410" t="s">
        <v>570</v>
      </c>
      <c r="F410" s="48">
        <v>150000</v>
      </c>
      <c r="G410" s="49">
        <v>150000</v>
      </c>
      <c r="H410" s="49">
        <v>112500</v>
      </c>
      <c r="I410" s="49">
        <v>75000</v>
      </c>
    </row>
    <row r="411" spans="1:9" ht="16">
      <c r="A411" t="s">
        <v>134</v>
      </c>
      <c r="B411" s="44" t="s">
        <v>18</v>
      </c>
      <c r="C411" t="s">
        <v>59</v>
      </c>
      <c r="D411" t="s">
        <v>568</v>
      </c>
      <c r="E411" t="s">
        <v>571</v>
      </c>
      <c r="F411" s="48">
        <v>150000</v>
      </c>
      <c r="G411" s="49">
        <v>150000</v>
      </c>
      <c r="H411" s="49">
        <v>112500</v>
      </c>
      <c r="I411" s="49">
        <v>75000</v>
      </c>
    </row>
    <row r="412" spans="1:9" ht="16">
      <c r="A412" t="s">
        <v>134</v>
      </c>
      <c r="B412" s="44" t="s">
        <v>18</v>
      </c>
      <c r="C412" t="s">
        <v>59</v>
      </c>
      <c r="D412" t="s">
        <v>568</v>
      </c>
      <c r="E412" t="s">
        <v>572</v>
      </c>
      <c r="F412" s="48">
        <v>180000</v>
      </c>
      <c r="G412" s="49">
        <v>180000</v>
      </c>
      <c r="H412" s="49">
        <v>135000</v>
      </c>
      <c r="I412" s="49">
        <v>90000</v>
      </c>
    </row>
    <row r="413" spans="1:9" ht="16">
      <c r="A413" t="s">
        <v>134</v>
      </c>
      <c r="B413" s="44" t="s">
        <v>18</v>
      </c>
      <c r="C413" t="s">
        <v>59</v>
      </c>
      <c r="D413" t="s">
        <v>568</v>
      </c>
      <c r="E413" t="s">
        <v>128</v>
      </c>
      <c r="F413" s="48">
        <v>150000</v>
      </c>
      <c r="G413" s="49">
        <v>150000</v>
      </c>
      <c r="H413" s="49">
        <v>112500</v>
      </c>
      <c r="I413" s="49">
        <v>75000</v>
      </c>
    </row>
    <row r="414" spans="1:9" ht="16">
      <c r="A414" t="s">
        <v>134</v>
      </c>
      <c r="B414" s="44" t="s">
        <v>18</v>
      </c>
      <c r="C414" t="s">
        <v>59</v>
      </c>
      <c r="D414" t="s">
        <v>568</v>
      </c>
      <c r="E414" t="s">
        <v>573</v>
      </c>
      <c r="F414" s="48">
        <v>180000</v>
      </c>
      <c r="G414" s="49">
        <v>180000</v>
      </c>
      <c r="H414" s="49">
        <v>135000</v>
      </c>
      <c r="I414" s="49">
        <v>90000</v>
      </c>
    </row>
    <row r="415" spans="1:9" ht="16">
      <c r="A415" t="s">
        <v>134</v>
      </c>
      <c r="B415" s="44" t="s">
        <v>18</v>
      </c>
      <c r="C415" t="s">
        <v>59</v>
      </c>
      <c r="D415" t="s">
        <v>568</v>
      </c>
      <c r="E415" t="s">
        <v>574</v>
      </c>
      <c r="F415" s="48">
        <v>120000</v>
      </c>
      <c r="G415" s="49">
        <v>120000</v>
      </c>
      <c r="H415" s="49">
        <v>90000</v>
      </c>
      <c r="I415" s="49">
        <v>60000</v>
      </c>
    </row>
    <row r="416" spans="1:9" ht="16">
      <c r="A416" t="s">
        <v>134</v>
      </c>
      <c r="B416" s="44" t="s">
        <v>18</v>
      </c>
      <c r="C416" t="s">
        <v>59</v>
      </c>
      <c r="D416" t="s">
        <v>568</v>
      </c>
      <c r="E416" t="s">
        <v>575</v>
      </c>
      <c r="F416" s="48">
        <v>180000</v>
      </c>
      <c r="G416" s="49">
        <v>180000</v>
      </c>
      <c r="H416" s="49">
        <v>135000</v>
      </c>
      <c r="I416" s="49">
        <v>90000</v>
      </c>
    </row>
    <row r="417" spans="1:9" ht="16">
      <c r="A417" t="s">
        <v>134</v>
      </c>
      <c r="B417" s="44" t="s">
        <v>18</v>
      </c>
      <c r="C417" t="s">
        <v>59</v>
      </c>
      <c r="D417" t="s">
        <v>568</v>
      </c>
      <c r="E417" t="s">
        <v>576</v>
      </c>
      <c r="F417" s="48">
        <v>180000</v>
      </c>
      <c r="G417" s="49">
        <v>180000</v>
      </c>
      <c r="H417" s="49">
        <v>135000</v>
      </c>
      <c r="I417" s="49">
        <v>90000</v>
      </c>
    </row>
    <row r="418" spans="1:9" ht="16">
      <c r="A418" t="s">
        <v>134</v>
      </c>
      <c r="B418" s="44" t="s">
        <v>18</v>
      </c>
      <c r="C418" t="s">
        <v>59</v>
      </c>
      <c r="D418" t="s">
        <v>568</v>
      </c>
      <c r="E418" t="s">
        <v>577</v>
      </c>
      <c r="F418" s="48">
        <v>150000</v>
      </c>
      <c r="G418" s="49">
        <v>150000</v>
      </c>
      <c r="H418" s="49">
        <v>112500</v>
      </c>
      <c r="I418" s="49">
        <v>75000</v>
      </c>
    </row>
  </sheetData>
  <mergeCells count="6">
    <mergeCell ref="F2:I2"/>
    <mergeCell ref="A2:A3"/>
    <mergeCell ref="B2:B3"/>
    <mergeCell ref="C2:C3"/>
    <mergeCell ref="D2:D3"/>
    <mergeCell ref="E2:E3"/>
  </mergeCells>
  <phoneticPr fontId="2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EFCF-76F2-A247-B907-9A21E83CEDB2}">
  <dimension ref="B2:H10"/>
  <sheetViews>
    <sheetView showGridLines="0" workbookViewId="0">
      <selection activeCell="J17" sqref="J17"/>
    </sheetView>
  </sheetViews>
  <sheetFormatPr baseColWidth="10" defaultRowHeight="18"/>
  <cols>
    <col min="1" max="1" width="10.83203125" style="93"/>
    <col min="2" max="3" width="10.83203125" style="91"/>
    <col min="4" max="4" width="16.33203125" style="91" customWidth="1"/>
    <col min="5" max="5" width="9.33203125" style="33" customWidth="1"/>
    <col min="6" max="6" width="10.83203125" style="91"/>
    <col min="7" max="7" width="17" style="91" customWidth="1"/>
    <col min="8" max="8" width="10.83203125" style="91"/>
    <col min="9" max="16384" width="10.83203125" style="93"/>
  </cols>
  <sheetData>
    <row r="2" spans="2:8">
      <c r="D2" s="92" t="s">
        <v>650</v>
      </c>
      <c r="E2" s="94"/>
    </row>
    <row r="3" spans="2:8" ht="38" customHeight="1">
      <c r="B3" s="95" t="s">
        <v>648</v>
      </c>
      <c r="C3" s="95" t="s">
        <v>649</v>
      </c>
      <c r="D3" s="96" t="s">
        <v>651</v>
      </c>
      <c r="E3" s="96" t="s">
        <v>654</v>
      </c>
      <c r="F3" s="95" t="s">
        <v>652</v>
      </c>
      <c r="G3" s="96" t="s">
        <v>651</v>
      </c>
      <c r="H3" s="96" t="s">
        <v>654</v>
      </c>
    </row>
    <row r="4" spans="2:8">
      <c r="B4" s="97" t="s">
        <v>175</v>
      </c>
      <c r="C4" s="98" t="e">
        <f>COUNTIFS(#REF!,Sheet1!B4,#REF!,"省区总监")</f>
        <v>#REF!</v>
      </c>
      <c r="D4" s="98" t="e">
        <f>COUNTIFS(#REF!,Sheet1!B4,#REF!,"省区总监",#REF!,"&lt;0")</f>
        <v>#REF!</v>
      </c>
      <c r="E4" s="99" t="e">
        <f>D4/C4</f>
        <v>#REF!</v>
      </c>
      <c r="F4" s="98" t="e">
        <f>COUNTIFS(#REF!,Sheet1!B4,#REF!,"区域总监")</f>
        <v>#REF!</v>
      </c>
      <c r="G4" s="98" t="e">
        <f>COUNTIFS(#REF!,Sheet1!B4,#REF!,"区域总监",#REF!,"&lt;0")</f>
        <v>#REF!</v>
      </c>
      <c r="H4" s="99" t="e">
        <f>G4/F4</f>
        <v>#REF!</v>
      </c>
    </row>
    <row r="5" spans="2:8">
      <c r="B5" s="97" t="s">
        <v>17</v>
      </c>
      <c r="C5" s="98" t="e">
        <f>COUNTIFS(#REF!,Sheet1!B5,#REF!,"省区总监")</f>
        <v>#REF!</v>
      </c>
      <c r="D5" s="98" t="e">
        <f>COUNTIFS(#REF!,Sheet1!B5,#REF!,"省区总监",#REF!,"&lt;0")</f>
        <v>#REF!</v>
      </c>
      <c r="E5" s="99" t="e">
        <f t="shared" ref="E5:E10" si="0">D5/C5</f>
        <v>#REF!</v>
      </c>
      <c r="F5" s="98" t="e">
        <f>COUNTIFS(#REF!,Sheet1!B5,#REF!,"区域总监")</f>
        <v>#REF!</v>
      </c>
      <c r="G5" s="98" t="e">
        <f>COUNTIFS(#REF!,Sheet1!B5,#REF!,"区域总监",#REF!,"&lt;0")</f>
        <v>#REF!</v>
      </c>
      <c r="H5" s="99" t="e">
        <f t="shared" ref="H5:H10" si="1">G5/F5</f>
        <v>#REF!</v>
      </c>
    </row>
    <row r="6" spans="2:8">
      <c r="B6" s="97" t="s">
        <v>10</v>
      </c>
      <c r="C6" s="98" t="e">
        <f>COUNTIFS(#REF!,Sheet1!B6,#REF!,"省区总监")</f>
        <v>#REF!</v>
      </c>
      <c r="D6" s="98" t="e">
        <f>COUNTIFS(#REF!,Sheet1!B6,#REF!,"省区总监",#REF!,"&lt;0")</f>
        <v>#REF!</v>
      </c>
      <c r="E6" s="99" t="e">
        <f t="shared" si="0"/>
        <v>#REF!</v>
      </c>
      <c r="F6" s="98" t="e">
        <f>COUNTIFS(#REF!,Sheet1!B6,#REF!,"区域总监")</f>
        <v>#REF!</v>
      </c>
      <c r="G6" s="98" t="e">
        <f>COUNTIFS(#REF!,Sheet1!B6,#REF!,"区域总监",#REF!,"&lt;0")</f>
        <v>#REF!</v>
      </c>
      <c r="H6" s="99" t="e">
        <f t="shared" si="1"/>
        <v>#REF!</v>
      </c>
    </row>
    <row r="7" spans="2:8">
      <c r="B7" s="97" t="s">
        <v>14</v>
      </c>
      <c r="C7" s="98" t="e">
        <f>COUNTIFS(#REF!,Sheet1!B7,#REF!,"省区总监")</f>
        <v>#REF!</v>
      </c>
      <c r="D7" s="98" t="e">
        <f>COUNTIFS(#REF!,Sheet1!B7,#REF!,"省区总监",#REF!,"&lt;0")</f>
        <v>#REF!</v>
      </c>
      <c r="E7" s="99" t="e">
        <f t="shared" si="0"/>
        <v>#REF!</v>
      </c>
      <c r="F7" s="98" t="e">
        <f>COUNTIFS(#REF!,Sheet1!B7,#REF!,"区域总监")</f>
        <v>#REF!</v>
      </c>
      <c r="G7" s="98" t="e">
        <f>COUNTIFS(#REF!,Sheet1!B7,#REF!,"区域总监",#REF!,"&lt;0")</f>
        <v>#REF!</v>
      </c>
      <c r="H7" s="99" t="e">
        <f t="shared" si="1"/>
        <v>#REF!</v>
      </c>
    </row>
    <row r="8" spans="2:8">
      <c r="B8" s="97" t="s">
        <v>15</v>
      </c>
      <c r="C8" s="98" t="e">
        <f>COUNTIFS(#REF!,Sheet1!B8,#REF!,"省区总监")</f>
        <v>#REF!</v>
      </c>
      <c r="D8" s="98" t="e">
        <f>COUNTIFS(#REF!,Sheet1!B8,#REF!,"省区总监",#REF!,"&lt;0")</f>
        <v>#REF!</v>
      </c>
      <c r="E8" s="99" t="e">
        <f t="shared" si="0"/>
        <v>#REF!</v>
      </c>
      <c r="F8" s="98" t="e">
        <f>COUNTIFS(#REF!,Sheet1!B8,#REF!,"区域总监")</f>
        <v>#REF!</v>
      </c>
      <c r="G8" s="98" t="e">
        <f>COUNTIFS(#REF!,Sheet1!B8,#REF!,"区域总监",#REF!,"&lt;0")</f>
        <v>#REF!</v>
      </c>
      <c r="H8" s="99" t="e">
        <f t="shared" si="1"/>
        <v>#REF!</v>
      </c>
    </row>
    <row r="9" spans="2:8">
      <c r="B9" s="97" t="s">
        <v>18</v>
      </c>
      <c r="C9" s="98" t="e">
        <f>COUNTIFS(#REF!,Sheet1!B9,#REF!,"省区总监")</f>
        <v>#REF!</v>
      </c>
      <c r="D9" s="98" t="e">
        <f>COUNTIFS(#REF!,Sheet1!B9,#REF!,"省区总监",#REF!,"&lt;0")</f>
        <v>#REF!</v>
      </c>
      <c r="E9" s="99" t="e">
        <f t="shared" si="0"/>
        <v>#REF!</v>
      </c>
      <c r="F9" s="98" t="e">
        <f>COUNTIFS(#REF!,Sheet1!B9,#REF!,"区域总监")</f>
        <v>#REF!</v>
      </c>
      <c r="G9" s="98" t="e">
        <f>COUNTIFS(#REF!,Sheet1!B9,#REF!,"区域总监",#REF!,"&lt;0")</f>
        <v>#REF!</v>
      </c>
      <c r="H9" s="99" t="e">
        <f t="shared" si="1"/>
        <v>#REF!</v>
      </c>
    </row>
    <row r="10" spans="2:8" ht="26" customHeight="1">
      <c r="B10" s="95" t="s">
        <v>653</v>
      </c>
      <c r="C10" s="95" t="e">
        <f>SUM(C4:C9)</f>
        <v>#REF!</v>
      </c>
      <c r="D10" s="95" t="e">
        <f>SUM(D4:D9)</f>
        <v>#REF!</v>
      </c>
      <c r="E10" s="100" t="e">
        <f t="shared" si="0"/>
        <v>#REF!</v>
      </c>
      <c r="F10" s="95" t="e">
        <f>SUM(F4:F9)</f>
        <v>#REF!</v>
      </c>
      <c r="G10" s="95" t="e">
        <f>SUM(G4:G9)</f>
        <v>#REF!</v>
      </c>
      <c r="H10" s="100" t="e">
        <f t="shared" si="1"/>
        <v>#REF!</v>
      </c>
    </row>
  </sheetData>
  <phoneticPr fontId="2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77"/>
  <sheetViews>
    <sheetView showGridLines="0" zoomScale="106" zoomScaleNormal="106" workbookViewId="0">
      <pane xSplit="3" ySplit="2" topLeftCell="D16" activePane="bottomRight" state="frozen"/>
      <selection pane="topRight" activeCell="D1" sqref="D1"/>
      <selection pane="bottomLeft" activeCell="A3" sqref="A3"/>
      <selection pane="bottomRight" activeCell="F2" sqref="F2"/>
    </sheetView>
  </sheetViews>
  <sheetFormatPr baseColWidth="10" defaultColWidth="8.83203125" defaultRowHeight="18" outlineLevelRow="1"/>
  <cols>
    <col min="1" max="3" width="10.83203125" style="66"/>
    <col min="4" max="5" width="17.6640625" style="66"/>
    <col min="6" max="6" width="12.83203125" style="66" bestFit="1" customWidth="1"/>
    <col min="7" max="7" width="12.83203125" style="66" customWidth="1"/>
    <col min="8" max="10" width="10.83203125" style="66"/>
    <col min="11" max="11" width="20.6640625" style="66"/>
    <col min="12" max="12" width="14" style="66" customWidth="1"/>
    <col min="13" max="13" width="11.1640625" style="66" customWidth="1"/>
    <col min="14" max="14" width="16" style="66" bestFit="1" customWidth="1"/>
    <col min="15" max="15" width="9.6640625" style="66" bestFit="1" customWidth="1"/>
    <col min="16" max="16" width="11" style="66" bestFit="1"/>
    <col min="17" max="18" width="10.83203125" style="66"/>
    <col min="19" max="20" width="14" style="67"/>
    <col min="21" max="22" width="13.6640625" style="67"/>
    <col min="23" max="23" width="11.33203125" style="67"/>
    <col min="24" max="29" width="10.83203125" style="66"/>
  </cols>
  <sheetData>
    <row r="1" spans="2:24">
      <c r="G1" s="67" t="s">
        <v>640</v>
      </c>
    </row>
    <row r="2" spans="2:24" ht="46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630</v>
      </c>
      <c r="G2" s="1" t="s">
        <v>633</v>
      </c>
      <c r="H2" s="2" t="s">
        <v>4</v>
      </c>
      <c r="I2" s="2" t="s">
        <v>5</v>
      </c>
      <c r="J2" s="2" t="s">
        <v>6</v>
      </c>
      <c r="K2" s="3" t="s">
        <v>634</v>
      </c>
      <c r="L2" s="72" t="s">
        <v>631</v>
      </c>
      <c r="M2" s="3" t="s">
        <v>635</v>
      </c>
    </row>
    <row r="3" spans="2:24">
      <c r="B3" s="4" t="s">
        <v>9</v>
      </c>
      <c r="C3" s="4" t="s">
        <v>10</v>
      </c>
      <c r="D3" s="4" t="s">
        <v>10</v>
      </c>
      <c r="E3" s="4" t="s">
        <v>10</v>
      </c>
      <c r="F3" s="73">
        <f>SUMIF($C$12:$C$42,E3,$F$12:$F$42)</f>
        <v>38504.39</v>
      </c>
      <c r="G3" s="77">
        <f>F3/F$9</f>
        <v>0.27148033617137773</v>
      </c>
      <c r="H3" s="4" t="s">
        <v>11</v>
      </c>
      <c r="I3" s="4" t="s">
        <v>12</v>
      </c>
      <c r="J3" s="4" t="s">
        <v>13</v>
      </c>
      <c r="K3" s="5">
        <v>4920000</v>
      </c>
      <c r="L3" s="5">
        <f>K3</f>
        <v>4920000</v>
      </c>
      <c r="M3" s="6">
        <f>L3/K3-1</f>
        <v>0</v>
      </c>
    </row>
    <row r="4" spans="2:24">
      <c r="B4" s="4" t="s">
        <v>9</v>
      </c>
      <c r="C4" s="4" t="s">
        <v>14</v>
      </c>
      <c r="D4" s="4" t="s">
        <v>14</v>
      </c>
      <c r="E4" s="4" t="s">
        <v>14</v>
      </c>
      <c r="F4" s="73">
        <f t="shared" ref="F4:F8" si="0">SUMIF($C$12:$C$42,E4,$F$12:$F$42)</f>
        <v>23062.47</v>
      </c>
      <c r="G4" s="77">
        <f t="shared" ref="G4:G9" si="1">F4/F$9</f>
        <v>0.1626050200650449</v>
      </c>
      <c r="H4" s="4" t="s">
        <v>11</v>
      </c>
      <c r="I4" s="4" t="s">
        <v>12</v>
      </c>
      <c r="J4" s="4" t="s">
        <v>13</v>
      </c>
      <c r="K4" s="5">
        <v>1520000</v>
      </c>
      <c r="L4" s="5">
        <f t="shared" ref="L4:L8" si="2">K4</f>
        <v>1520000</v>
      </c>
      <c r="M4" s="6">
        <f t="shared" ref="M4:M9" si="3">L4/K4-1</f>
        <v>0</v>
      </c>
    </row>
    <row r="5" spans="2:24">
      <c r="B5" s="4" t="s">
        <v>9</v>
      </c>
      <c r="C5" s="4" t="s">
        <v>15</v>
      </c>
      <c r="D5" s="4" t="s">
        <v>15</v>
      </c>
      <c r="E5" s="4" t="s">
        <v>15</v>
      </c>
      <c r="F5" s="73">
        <f t="shared" si="0"/>
        <v>22550.309999999998</v>
      </c>
      <c r="G5" s="77">
        <f t="shared" si="1"/>
        <v>0.15899396768962659</v>
      </c>
      <c r="H5" s="4" t="s">
        <v>11</v>
      </c>
      <c r="I5" s="4" t="s">
        <v>12</v>
      </c>
      <c r="J5" s="4" t="s">
        <v>13</v>
      </c>
      <c r="K5" s="5">
        <v>3710000</v>
      </c>
      <c r="L5" s="5">
        <f t="shared" si="2"/>
        <v>3710000</v>
      </c>
      <c r="M5" s="6">
        <f t="shared" si="3"/>
        <v>0</v>
      </c>
    </row>
    <row r="6" spans="2:24">
      <c r="B6" s="4" t="s">
        <v>9</v>
      </c>
      <c r="C6" s="4" t="s">
        <v>16</v>
      </c>
      <c r="D6" s="4" t="s">
        <v>16</v>
      </c>
      <c r="E6" s="4" t="s">
        <v>16</v>
      </c>
      <c r="F6" s="73">
        <f t="shared" si="0"/>
        <v>10918.079999999998</v>
      </c>
      <c r="G6" s="77">
        <f t="shared" si="1"/>
        <v>7.6979378942141283E-2</v>
      </c>
      <c r="H6" s="4" t="s">
        <v>11</v>
      </c>
      <c r="I6" s="4" t="s">
        <v>12</v>
      </c>
      <c r="J6" s="4" t="s">
        <v>13</v>
      </c>
      <c r="K6" s="5">
        <v>1400000</v>
      </c>
      <c r="L6" s="5">
        <f t="shared" si="2"/>
        <v>1400000</v>
      </c>
      <c r="M6" s="6">
        <f t="shared" si="3"/>
        <v>0</v>
      </c>
    </row>
    <row r="7" spans="2:24">
      <c r="B7" s="4" t="s">
        <v>9</v>
      </c>
      <c r="C7" s="4" t="s">
        <v>17</v>
      </c>
      <c r="D7" s="4" t="s">
        <v>17</v>
      </c>
      <c r="E7" s="4" t="s">
        <v>17</v>
      </c>
      <c r="F7" s="73">
        <f t="shared" si="0"/>
        <v>16404.77</v>
      </c>
      <c r="G7" s="77">
        <f t="shared" si="1"/>
        <v>0.11566401842527911</v>
      </c>
      <c r="H7" s="4" t="s">
        <v>11</v>
      </c>
      <c r="I7" s="4" t="s">
        <v>12</v>
      </c>
      <c r="J7" s="4" t="s">
        <v>13</v>
      </c>
      <c r="K7" s="5">
        <v>1960000</v>
      </c>
      <c r="L7" s="5">
        <f t="shared" si="2"/>
        <v>1960000</v>
      </c>
      <c r="M7" s="6">
        <f t="shared" si="3"/>
        <v>0</v>
      </c>
    </row>
    <row r="8" spans="2:24">
      <c r="B8" s="4" t="s">
        <v>9</v>
      </c>
      <c r="C8" s="4" t="s">
        <v>18</v>
      </c>
      <c r="D8" s="4" t="s">
        <v>18</v>
      </c>
      <c r="E8" s="4" t="s">
        <v>18</v>
      </c>
      <c r="F8" s="73">
        <f t="shared" si="0"/>
        <v>30391.21</v>
      </c>
      <c r="G8" s="77">
        <f t="shared" si="1"/>
        <v>0.21427727870653027</v>
      </c>
      <c r="H8" s="4" t="s">
        <v>11</v>
      </c>
      <c r="I8" s="4" t="s">
        <v>12</v>
      </c>
      <c r="J8" s="4" t="s">
        <v>13</v>
      </c>
      <c r="K8" s="5">
        <v>3400000</v>
      </c>
      <c r="L8" s="5">
        <f t="shared" si="2"/>
        <v>3400000</v>
      </c>
      <c r="M8" s="6">
        <f t="shared" si="3"/>
        <v>0</v>
      </c>
    </row>
    <row r="9" spans="2:24" ht="20" customHeight="1">
      <c r="B9" s="7" t="s">
        <v>9</v>
      </c>
      <c r="C9" s="7" t="s">
        <v>19</v>
      </c>
      <c r="D9" s="7" t="s">
        <v>19</v>
      </c>
      <c r="E9" s="7" t="s">
        <v>19</v>
      </c>
      <c r="F9" s="74">
        <f>SUM(F3:F8)</f>
        <v>141831.23000000001</v>
      </c>
      <c r="G9" s="78">
        <f t="shared" si="1"/>
        <v>1</v>
      </c>
      <c r="H9" s="7"/>
      <c r="I9" s="7" t="s">
        <v>20</v>
      </c>
      <c r="J9" s="7" t="s">
        <v>21</v>
      </c>
      <c r="K9" s="8">
        <f>SUM(K3:K8)</f>
        <v>16910000</v>
      </c>
      <c r="L9" s="8">
        <f>SUM(L3:L8)</f>
        <v>16910000</v>
      </c>
      <c r="M9" s="9">
        <f t="shared" si="3"/>
        <v>0</v>
      </c>
    </row>
    <row r="10" spans="2:24" ht="35" customHeight="1">
      <c r="G10" s="86" t="s">
        <v>641</v>
      </c>
      <c r="M10" s="290" t="s">
        <v>636</v>
      </c>
      <c r="N10" s="290"/>
      <c r="O10" s="88"/>
    </row>
    <row r="11" spans="2:24" ht="38">
      <c r="B11" s="1" t="s">
        <v>0</v>
      </c>
      <c r="C11" s="1" t="s">
        <v>1</v>
      </c>
      <c r="D11" s="1" t="s">
        <v>2</v>
      </c>
      <c r="E11" s="1" t="s">
        <v>3</v>
      </c>
      <c r="F11" s="1" t="s">
        <v>630</v>
      </c>
      <c r="G11" s="1" t="s">
        <v>633</v>
      </c>
      <c r="H11" s="2" t="s">
        <v>4</v>
      </c>
      <c r="I11" s="2" t="s">
        <v>5</v>
      </c>
      <c r="J11" s="2" t="s">
        <v>6</v>
      </c>
      <c r="K11" s="3" t="s">
        <v>7</v>
      </c>
      <c r="L11" s="72" t="s">
        <v>646</v>
      </c>
      <c r="M11" s="3" t="s">
        <v>635</v>
      </c>
      <c r="N11" s="72" t="s">
        <v>647</v>
      </c>
      <c r="O11" s="3" t="s">
        <v>635</v>
      </c>
      <c r="Q11" s="10" t="s">
        <v>1</v>
      </c>
      <c r="R11" s="10" t="s">
        <v>22</v>
      </c>
      <c r="S11" s="11" t="s">
        <v>23</v>
      </c>
      <c r="T11" s="11" t="s">
        <v>24</v>
      </c>
      <c r="U11" s="11" t="s">
        <v>25</v>
      </c>
      <c r="V11" s="11" t="s">
        <v>24</v>
      </c>
      <c r="W11" s="11" t="s">
        <v>26</v>
      </c>
      <c r="X11" s="11" t="s">
        <v>24</v>
      </c>
    </row>
    <row r="12" spans="2:24" outlineLevel="1">
      <c r="B12" s="4" t="s">
        <v>9</v>
      </c>
      <c r="C12" s="12" t="s">
        <v>10</v>
      </c>
      <c r="D12" s="13" t="s">
        <v>27</v>
      </c>
      <c r="E12" s="13" t="s">
        <v>27</v>
      </c>
      <c r="F12" s="71">
        <v>2475.9</v>
      </c>
      <c r="G12" s="79">
        <f>F12/(VLOOKUP($C12,$C$3:$F$9,4,0))</f>
        <v>6.4301758838407774E-2</v>
      </c>
      <c r="H12" s="4" t="s">
        <v>28</v>
      </c>
      <c r="I12" s="4" t="s">
        <v>12</v>
      </c>
      <c r="J12" s="4" t="s">
        <v>29</v>
      </c>
      <c r="K12" s="4"/>
      <c r="L12" s="81">
        <f>ROUND(VLOOKUP(C12,$C$3:$K$8,9,0)*G12,0)</f>
        <v>316365</v>
      </c>
      <c r="M12" s="6" t="str">
        <f>IFERROR(L12/K12-1,"")</f>
        <v/>
      </c>
      <c r="N12" s="89">
        <v>1491.9</v>
      </c>
      <c r="O12" s="90">
        <f>IFERROR(N12/K12-1,0)</f>
        <v>0</v>
      </c>
      <c r="Q12" s="14" t="s">
        <v>10</v>
      </c>
      <c r="R12" s="15">
        <v>2</v>
      </c>
      <c r="S12" s="15">
        <v>0</v>
      </c>
      <c r="T12" s="16">
        <f t="shared" ref="T12:T18" si="4">S12/R$18</f>
        <v>0</v>
      </c>
      <c r="U12" s="15">
        <v>0</v>
      </c>
      <c r="V12" s="16">
        <f t="shared" ref="V12:V18" si="5">U12/R$18</f>
        <v>0</v>
      </c>
      <c r="W12" s="15">
        <v>2</v>
      </c>
      <c r="X12" s="16">
        <f t="shared" ref="X12:X18" si="6">W12/R$18</f>
        <v>0.18181818181818182</v>
      </c>
    </row>
    <row r="13" spans="2:24">
      <c r="B13" s="4" t="s">
        <v>9</v>
      </c>
      <c r="C13" s="4" t="s">
        <v>10</v>
      </c>
      <c r="D13" s="17" t="s">
        <v>30</v>
      </c>
      <c r="E13" s="17" t="s">
        <v>30</v>
      </c>
      <c r="F13" s="71">
        <v>6146.5399999999991</v>
      </c>
      <c r="G13" s="79">
        <f t="shared" ref="G13:G43" si="7">F13/(VLOOKUP($C13,$C$3:$F$9,4,0))</f>
        <v>0.159632187394736</v>
      </c>
      <c r="H13" s="4" t="s">
        <v>11</v>
      </c>
      <c r="I13" s="4" t="s">
        <v>31</v>
      </c>
      <c r="J13" s="4" t="s">
        <v>29</v>
      </c>
      <c r="K13" s="5">
        <v>700000</v>
      </c>
      <c r="L13" s="81">
        <f t="shared" ref="L13:L42" si="8">ROUND(VLOOKUP(C13,$C$3:$K$8,9,0)*G13,0)</f>
        <v>785390</v>
      </c>
      <c r="M13" s="6">
        <f t="shared" ref="M13:M43" si="9">IFERROR(L13/K13-1,"")</f>
        <v>0.12198571428571436</v>
      </c>
      <c r="N13" s="89">
        <v>198647.88999999998</v>
      </c>
      <c r="O13" s="90">
        <f t="shared" ref="O13:O42" si="10">IFERROR(N13/K13-1,0)</f>
        <v>-0.71621730000000006</v>
      </c>
      <c r="Q13" s="14" t="s">
        <v>14</v>
      </c>
      <c r="R13" s="15">
        <v>0</v>
      </c>
      <c r="S13" s="15">
        <v>0</v>
      </c>
      <c r="T13" s="16">
        <f t="shared" si="4"/>
        <v>0</v>
      </c>
      <c r="U13" s="15">
        <v>0</v>
      </c>
      <c r="V13" s="16">
        <f t="shared" si="5"/>
        <v>0</v>
      </c>
      <c r="W13" s="15">
        <v>0</v>
      </c>
      <c r="X13" s="16">
        <f t="shared" si="6"/>
        <v>0</v>
      </c>
    </row>
    <row r="14" spans="2:24" outlineLevel="1">
      <c r="B14" s="4" t="s">
        <v>9</v>
      </c>
      <c r="C14" s="4" t="s">
        <v>10</v>
      </c>
      <c r="D14" s="17" t="s">
        <v>32</v>
      </c>
      <c r="E14" s="17" t="s">
        <v>32</v>
      </c>
      <c r="F14" s="71">
        <v>8565.08</v>
      </c>
      <c r="G14" s="79">
        <f t="shared" si="7"/>
        <v>0.22244424596779744</v>
      </c>
      <c r="H14" s="4" t="s">
        <v>11</v>
      </c>
      <c r="I14" s="4" t="s">
        <v>12</v>
      </c>
      <c r="J14" s="4" t="s">
        <v>29</v>
      </c>
      <c r="K14" s="5">
        <v>800000</v>
      </c>
      <c r="L14" s="81">
        <f t="shared" si="8"/>
        <v>1094426</v>
      </c>
      <c r="M14" s="6">
        <f t="shared" si="9"/>
        <v>0.36803249999999998</v>
      </c>
      <c r="N14" s="89">
        <v>61856.22</v>
      </c>
      <c r="O14" s="90">
        <f t="shared" si="10"/>
        <v>-0.92267972499999995</v>
      </c>
      <c r="Q14" s="14" t="s">
        <v>15</v>
      </c>
      <c r="R14" s="15">
        <v>2</v>
      </c>
      <c r="S14" s="15">
        <v>2</v>
      </c>
      <c r="T14" s="16">
        <f t="shared" si="4"/>
        <v>0.18181818181818182</v>
      </c>
      <c r="U14" s="15">
        <v>0</v>
      </c>
      <c r="V14" s="16">
        <f t="shared" si="5"/>
        <v>0</v>
      </c>
      <c r="W14" s="15">
        <v>0</v>
      </c>
      <c r="X14" s="16">
        <f t="shared" si="6"/>
        <v>0</v>
      </c>
    </row>
    <row r="15" spans="2:24" outlineLevel="1">
      <c r="B15" s="4" t="s">
        <v>9</v>
      </c>
      <c r="C15" s="4" t="s">
        <v>10</v>
      </c>
      <c r="D15" s="17" t="s">
        <v>33</v>
      </c>
      <c r="E15" s="17" t="s">
        <v>33</v>
      </c>
      <c r="F15" s="71">
        <v>6623.7</v>
      </c>
      <c r="G15" s="79">
        <f t="shared" si="7"/>
        <v>0.17202454057836003</v>
      </c>
      <c r="H15" s="4" t="s">
        <v>11</v>
      </c>
      <c r="I15" s="4" t="s">
        <v>12</v>
      </c>
      <c r="J15" s="4" t="s">
        <v>29</v>
      </c>
      <c r="K15" s="5">
        <v>1840000</v>
      </c>
      <c r="L15" s="81">
        <f t="shared" si="8"/>
        <v>846361</v>
      </c>
      <c r="M15" s="6">
        <f t="shared" si="9"/>
        <v>-0.54002119565217388</v>
      </c>
      <c r="N15" s="89">
        <v>129053.70000000001</v>
      </c>
      <c r="O15" s="90">
        <f t="shared" si="10"/>
        <v>-0.92986211956521736</v>
      </c>
      <c r="Q15" s="14" t="s">
        <v>16</v>
      </c>
      <c r="R15" s="15">
        <v>2</v>
      </c>
      <c r="S15" s="15">
        <v>2</v>
      </c>
      <c r="T15" s="16">
        <f t="shared" si="4"/>
        <v>0.18181818181818182</v>
      </c>
      <c r="U15" s="15">
        <v>0</v>
      </c>
      <c r="V15" s="16">
        <f t="shared" si="5"/>
        <v>0</v>
      </c>
      <c r="W15" s="15">
        <v>0</v>
      </c>
      <c r="X15" s="16">
        <f t="shared" si="6"/>
        <v>0</v>
      </c>
    </row>
    <row r="16" spans="2:24" outlineLevel="1">
      <c r="B16" s="4" t="s">
        <v>9</v>
      </c>
      <c r="C16" s="4" t="s">
        <v>10</v>
      </c>
      <c r="D16" s="17" t="s">
        <v>34</v>
      </c>
      <c r="E16" s="17" t="s">
        <v>34</v>
      </c>
      <c r="F16" s="71">
        <v>4527.5199999999995</v>
      </c>
      <c r="G16" s="79">
        <f t="shared" si="7"/>
        <v>0.11758451438913847</v>
      </c>
      <c r="H16" s="4" t="s">
        <v>11</v>
      </c>
      <c r="I16" s="4" t="s">
        <v>12</v>
      </c>
      <c r="J16" s="4" t="s">
        <v>29</v>
      </c>
      <c r="K16" s="5">
        <v>580000</v>
      </c>
      <c r="L16" s="81">
        <f t="shared" si="8"/>
        <v>578516</v>
      </c>
      <c r="M16" s="6">
        <f t="shared" si="9"/>
        <v>-2.5586206896551777E-3</v>
      </c>
      <c r="N16" s="89">
        <v>0</v>
      </c>
      <c r="O16" s="90">
        <f t="shared" si="10"/>
        <v>-1</v>
      </c>
      <c r="Q16" s="14" t="s">
        <v>17</v>
      </c>
      <c r="R16" s="15">
        <v>3</v>
      </c>
      <c r="S16" s="15">
        <v>3</v>
      </c>
      <c r="T16" s="16">
        <f t="shared" si="4"/>
        <v>0.27272727272727271</v>
      </c>
      <c r="U16" s="15">
        <v>0</v>
      </c>
      <c r="V16" s="16">
        <f t="shared" si="5"/>
        <v>0</v>
      </c>
      <c r="W16" s="15">
        <v>0</v>
      </c>
      <c r="X16" s="16">
        <f t="shared" si="6"/>
        <v>0</v>
      </c>
    </row>
    <row r="17" spans="1:29">
      <c r="B17" s="4" t="s">
        <v>9</v>
      </c>
      <c r="C17" s="4" t="s">
        <v>10</v>
      </c>
      <c r="D17" s="17" t="s">
        <v>35</v>
      </c>
      <c r="E17" s="17" t="s">
        <v>35</v>
      </c>
      <c r="F17" s="71">
        <v>10165.65</v>
      </c>
      <c r="G17" s="79">
        <f t="shared" si="7"/>
        <v>0.26401275283156023</v>
      </c>
      <c r="H17" s="4" t="s">
        <v>11</v>
      </c>
      <c r="I17" s="4" t="s">
        <v>36</v>
      </c>
      <c r="J17" s="4" t="s">
        <v>29</v>
      </c>
      <c r="K17" s="5">
        <v>1000000</v>
      </c>
      <c r="L17" s="81">
        <f t="shared" si="8"/>
        <v>1298943</v>
      </c>
      <c r="M17" s="6">
        <f t="shared" si="9"/>
        <v>0.29894299999999996</v>
      </c>
      <c r="N17" s="89">
        <v>384130.04</v>
      </c>
      <c r="O17" s="90">
        <f t="shared" si="10"/>
        <v>-0.61586995999999994</v>
      </c>
      <c r="Q17" s="14" t="s">
        <v>18</v>
      </c>
      <c r="R17" s="15">
        <v>2</v>
      </c>
      <c r="S17" s="15">
        <v>0</v>
      </c>
      <c r="T17" s="16">
        <f t="shared" si="4"/>
        <v>0</v>
      </c>
      <c r="U17" s="15">
        <v>0</v>
      </c>
      <c r="V17" s="16">
        <f t="shared" si="5"/>
        <v>0</v>
      </c>
      <c r="W17" s="15">
        <v>2</v>
      </c>
      <c r="X17" s="16">
        <f t="shared" si="6"/>
        <v>0.18181818181818182</v>
      </c>
    </row>
    <row r="18" spans="1:29" outlineLevel="1">
      <c r="B18" s="4" t="s">
        <v>9</v>
      </c>
      <c r="C18" s="12" t="s">
        <v>14</v>
      </c>
      <c r="D18" s="13" t="s">
        <v>37</v>
      </c>
      <c r="E18" s="13" t="s">
        <v>37</v>
      </c>
      <c r="F18" s="71">
        <v>12714.78</v>
      </c>
      <c r="G18" s="79">
        <f t="shared" si="7"/>
        <v>0.55131909114678523</v>
      </c>
      <c r="H18" s="4" t="s">
        <v>28</v>
      </c>
      <c r="I18" s="4" t="s">
        <v>12</v>
      </c>
      <c r="J18" s="4" t="s">
        <v>29</v>
      </c>
      <c r="K18" s="4"/>
      <c r="L18" s="81">
        <f t="shared" si="8"/>
        <v>838005</v>
      </c>
      <c r="M18" s="6" t="str">
        <f t="shared" si="9"/>
        <v/>
      </c>
      <c r="N18" s="89">
        <v>40687.25</v>
      </c>
      <c r="O18" s="90">
        <f t="shared" si="10"/>
        <v>0</v>
      </c>
      <c r="Q18" s="18" t="s">
        <v>19</v>
      </c>
      <c r="R18" s="10">
        <f>SUM(R12:R17)</f>
        <v>11</v>
      </c>
      <c r="S18" s="10">
        <f>SUM(S12:S17)</f>
        <v>7</v>
      </c>
      <c r="T18" s="19">
        <f t="shared" si="4"/>
        <v>0.63636363636363635</v>
      </c>
      <c r="U18" s="10">
        <f>SUM(U12:U17)</f>
        <v>0</v>
      </c>
      <c r="V18" s="19">
        <f t="shared" si="5"/>
        <v>0</v>
      </c>
      <c r="W18" s="10">
        <f>SUM(W12:W17)</f>
        <v>4</v>
      </c>
      <c r="X18" s="19">
        <f t="shared" si="6"/>
        <v>0.36363636363636365</v>
      </c>
    </row>
    <row r="19" spans="1:29" outlineLevel="1">
      <c r="B19" s="4" t="s">
        <v>9</v>
      </c>
      <c r="C19" s="12" t="s">
        <v>14</v>
      </c>
      <c r="D19" s="20" t="s">
        <v>38</v>
      </c>
      <c r="E19" s="20" t="s">
        <v>38</v>
      </c>
      <c r="F19" s="71">
        <v>1038.23</v>
      </c>
      <c r="G19" s="79">
        <f t="shared" si="7"/>
        <v>4.5018161541239943E-2</v>
      </c>
      <c r="H19" s="4" t="s">
        <v>28</v>
      </c>
      <c r="I19" s="4" t="s">
        <v>12</v>
      </c>
      <c r="J19" s="4" t="s">
        <v>29</v>
      </c>
      <c r="K19" s="4"/>
      <c r="L19" s="81">
        <f t="shared" si="8"/>
        <v>68428</v>
      </c>
      <c r="M19" s="6" t="str">
        <f t="shared" si="9"/>
        <v/>
      </c>
      <c r="N19" s="89">
        <v>0</v>
      </c>
      <c r="O19" s="90">
        <f t="shared" si="10"/>
        <v>0</v>
      </c>
    </row>
    <row r="20" spans="1:29" outlineLevel="1">
      <c r="B20" s="4" t="s">
        <v>9</v>
      </c>
      <c r="C20" s="4" t="s">
        <v>14</v>
      </c>
      <c r="D20" s="17" t="s">
        <v>39</v>
      </c>
      <c r="E20" s="17" t="s">
        <v>39</v>
      </c>
      <c r="F20" s="71">
        <v>5128.5099999999993</v>
      </c>
      <c r="G20" s="79">
        <f t="shared" si="7"/>
        <v>0.22237470661208444</v>
      </c>
      <c r="H20" s="4" t="s">
        <v>11</v>
      </c>
      <c r="I20" s="4" t="s">
        <v>12</v>
      </c>
      <c r="J20" s="4" t="s">
        <v>29</v>
      </c>
      <c r="K20" s="5">
        <v>900000</v>
      </c>
      <c r="L20" s="81">
        <f t="shared" si="8"/>
        <v>338010</v>
      </c>
      <c r="M20" s="6">
        <f t="shared" si="9"/>
        <v>-0.6244333333333334</v>
      </c>
      <c r="N20" s="89">
        <v>50823.5</v>
      </c>
      <c r="O20" s="90">
        <f t="shared" si="10"/>
        <v>-0.94352944444444442</v>
      </c>
    </row>
    <row r="21" spans="1:29" outlineLevel="1">
      <c r="B21" s="4" t="s">
        <v>9</v>
      </c>
      <c r="C21" s="4" t="s">
        <v>14</v>
      </c>
      <c r="D21" s="17" t="s">
        <v>40</v>
      </c>
      <c r="E21" s="17" t="s">
        <v>40</v>
      </c>
      <c r="F21" s="71">
        <v>4180.9499999999989</v>
      </c>
      <c r="G21" s="79">
        <f t="shared" si="7"/>
        <v>0.1812880406998903</v>
      </c>
      <c r="H21" s="4" t="s">
        <v>11</v>
      </c>
      <c r="I21" s="4" t="s">
        <v>12</v>
      </c>
      <c r="J21" s="4" t="s">
        <v>29</v>
      </c>
      <c r="K21" s="5">
        <v>620000</v>
      </c>
      <c r="L21" s="81">
        <f t="shared" si="8"/>
        <v>275558</v>
      </c>
      <c r="M21" s="6">
        <f t="shared" si="9"/>
        <v>-0.55555161290322586</v>
      </c>
      <c r="N21" s="89">
        <v>3773.5</v>
      </c>
      <c r="O21" s="90">
        <f t="shared" si="10"/>
        <v>-0.99391370967741932</v>
      </c>
    </row>
    <row r="22" spans="1:29">
      <c r="B22" s="4" t="s">
        <v>9</v>
      </c>
      <c r="C22" s="4" t="s">
        <v>15</v>
      </c>
      <c r="D22" s="17" t="s">
        <v>41</v>
      </c>
      <c r="E22" s="17" t="s">
        <v>41</v>
      </c>
      <c r="F22" s="71">
        <v>6647.3799999999992</v>
      </c>
      <c r="G22" s="79">
        <f t="shared" si="7"/>
        <v>0.29477998306896891</v>
      </c>
      <c r="H22" s="4" t="s">
        <v>11</v>
      </c>
      <c r="I22" s="4" t="s">
        <v>42</v>
      </c>
      <c r="J22" s="4" t="s">
        <v>29</v>
      </c>
      <c r="K22" s="5">
        <v>750000</v>
      </c>
      <c r="L22" s="81">
        <f t="shared" si="8"/>
        <v>1093634</v>
      </c>
      <c r="M22" s="6">
        <f t="shared" si="9"/>
        <v>0.45817866666666673</v>
      </c>
      <c r="N22" s="89">
        <v>38636.18</v>
      </c>
      <c r="O22" s="90">
        <f t="shared" si="10"/>
        <v>-0.94848509333333331</v>
      </c>
    </row>
    <row r="23" spans="1:29" outlineLevel="1">
      <c r="B23" s="4" t="s">
        <v>9</v>
      </c>
      <c r="C23" s="4" t="s">
        <v>15</v>
      </c>
      <c r="D23" s="17" t="s">
        <v>43</v>
      </c>
      <c r="E23" s="17" t="s">
        <v>43</v>
      </c>
      <c r="F23" s="71">
        <v>6028.86</v>
      </c>
      <c r="G23" s="79">
        <f t="shared" si="7"/>
        <v>0.26735153530040162</v>
      </c>
      <c r="H23" s="4" t="s">
        <v>11</v>
      </c>
      <c r="I23" s="4" t="s">
        <v>12</v>
      </c>
      <c r="J23" s="4" t="s">
        <v>29</v>
      </c>
      <c r="K23" s="5">
        <v>360000</v>
      </c>
      <c r="L23" s="81">
        <f t="shared" si="8"/>
        <v>991874</v>
      </c>
      <c r="M23" s="6">
        <f t="shared" si="9"/>
        <v>1.7552055555555555</v>
      </c>
      <c r="N23" s="89">
        <v>6552.2999999999993</v>
      </c>
      <c r="O23" s="90">
        <f t="shared" si="10"/>
        <v>-0.98179916666666667</v>
      </c>
    </row>
    <row r="24" spans="1:29">
      <c r="B24" s="4" t="s">
        <v>9</v>
      </c>
      <c r="C24" s="4" t="s">
        <v>15</v>
      </c>
      <c r="D24" s="17" t="s">
        <v>44</v>
      </c>
      <c r="E24" s="17" t="s">
        <v>44</v>
      </c>
      <c r="F24" s="71">
        <v>9874.07</v>
      </c>
      <c r="G24" s="79">
        <f t="shared" si="7"/>
        <v>0.43786848163062952</v>
      </c>
      <c r="H24" s="4" t="s">
        <v>11</v>
      </c>
      <c r="I24" s="4" t="s">
        <v>45</v>
      </c>
      <c r="J24" s="4" t="s">
        <v>29</v>
      </c>
      <c r="K24" s="5">
        <v>2600000</v>
      </c>
      <c r="L24" s="81">
        <f t="shared" si="8"/>
        <v>1624492</v>
      </c>
      <c r="M24" s="6">
        <f t="shared" si="9"/>
        <v>-0.3751953846153846</v>
      </c>
      <c r="N24" s="89">
        <v>1557187.66</v>
      </c>
      <c r="O24" s="90">
        <f t="shared" si="10"/>
        <v>-0.40108166923076927</v>
      </c>
    </row>
    <row r="25" spans="1:29" outlineLevel="1">
      <c r="B25" s="4" t="s">
        <v>9</v>
      </c>
      <c r="C25" s="4" t="s">
        <v>16</v>
      </c>
      <c r="D25" s="17" t="s">
        <v>48</v>
      </c>
      <c r="E25" s="17" t="s">
        <v>48</v>
      </c>
      <c r="F25" s="71">
        <v>2510.41</v>
      </c>
      <c r="G25" s="79">
        <f>F25/(VLOOKUP($C25,$C$3:$F$9,4,0))</f>
        <v>0.22993145314927169</v>
      </c>
      <c r="H25" s="4" t="s">
        <v>11</v>
      </c>
      <c r="I25" s="4" t="s">
        <v>12</v>
      </c>
      <c r="J25" s="4" t="s">
        <v>29</v>
      </c>
      <c r="K25" s="5">
        <v>100000</v>
      </c>
      <c r="L25" s="81">
        <f>ROUND(VLOOKUP(C25,$C$3:$K$8,9,0)*G25,0)</f>
        <v>321904</v>
      </c>
      <c r="M25" s="6">
        <f>IFERROR(L25/K25-1,"")</f>
        <v>2.2190400000000001</v>
      </c>
      <c r="N25" s="89">
        <v>58334.320000000007</v>
      </c>
      <c r="O25" s="90">
        <f t="shared" si="10"/>
        <v>-0.41665679999999994</v>
      </c>
    </row>
    <row r="26" spans="1:29">
      <c r="B26" s="4" t="s">
        <v>9</v>
      </c>
      <c r="C26" s="4" t="s">
        <v>16</v>
      </c>
      <c r="D26" s="17" t="s">
        <v>49</v>
      </c>
      <c r="E26" s="17" t="s">
        <v>49</v>
      </c>
      <c r="F26" s="71">
        <v>3482.8899999999994</v>
      </c>
      <c r="G26" s="79">
        <f>F26/(VLOOKUP($C26,$C$3:$F$9,4,0))</f>
        <v>0.31900205897007533</v>
      </c>
      <c r="H26" s="4" t="s">
        <v>11</v>
      </c>
      <c r="I26" s="4" t="s">
        <v>50</v>
      </c>
      <c r="J26" s="4" t="s">
        <v>29</v>
      </c>
      <c r="K26" s="5">
        <v>600000</v>
      </c>
      <c r="L26" s="81">
        <f t="shared" si="8"/>
        <v>446603</v>
      </c>
      <c r="M26" s="6">
        <f t="shared" si="9"/>
        <v>-0.25566166666666668</v>
      </c>
      <c r="N26" s="89">
        <v>152465.35</v>
      </c>
      <c r="O26" s="90">
        <f t="shared" si="10"/>
        <v>-0.74589108333333332</v>
      </c>
    </row>
    <row r="27" spans="1:29" s="85" customFormat="1">
      <c r="A27" s="66"/>
      <c r="B27" s="4" t="s">
        <v>9</v>
      </c>
      <c r="C27" s="4" t="s">
        <v>16</v>
      </c>
      <c r="D27" s="17" t="s">
        <v>644</v>
      </c>
      <c r="E27" s="17" t="s">
        <v>644</v>
      </c>
      <c r="F27" s="71">
        <v>4924.78</v>
      </c>
      <c r="G27" s="79">
        <f>F27/(VLOOKUP($C27,$C$3:$F$9,4,0))</f>
        <v>0.45106648788065307</v>
      </c>
      <c r="H27" s="4" t="s">
        <v>11</v>
      </c>
      <c r="I27" s="4" t="s">
        <v>645</v>
      </c>
      <c r="J27" s="4" t="s">
        <v>29</v>
      </c>
      <c r="K27" s="4">
        <v>700000</v>
      </c>
      <c r="L27" s="81">
        <f t="shared" ref="L27" si="11">ROUND(VLOOKUP(C27,$C$3:$K$8,9,0)*G27,0)</f>
        <v>631493</v>
      </c>
      <c r="M27" s="6">
        <f t="shared" ref="M27" si="12">IFERROR(L27/K27-1,"")</f>
        <v>-9.7867142857142819E-2</v>
      </c>
      <c r="N27" s="89">
        <v>273346.65000000002</v>
      </c>
      <c r="O27" s="90">
        <f t="shared" si="10"/>
        <v>-0.60950478571428568</v>
      </c>
      <c r="P27" s="66"/>
      <c r="Q27" s="66"/>
      <c r="R27" s="66"/>
      <c r="S27" s="67"/>
      <c r="T27" s="67"/>
      <c r="U27" s="67"/>
      <c r="V27" s="67"/>
      <c r="W27" s="67"/>
      <c r="X27" s="66"/>
      <c r="Y27" s="66"/>
      <c r="Z27" s="66"/>
      <c r="AA27" s="66"/>
      <c r="AB27" s="66"/>
      <c r="AC27" s="66"/>
    </row>
    <row r="28" spans="1:29" outlineLevel="1">
      <c r="B28" s="4" t="s">
        <v>9</v>
      </c>
      <c r="C28" s="4" t="s">
        <v>17</v>
      </c>
      <c r="D28" s="17" t="s">
        <v>51</v>
      </c>
      <c r="E28" s="17" t="s">
        <v>51</v>
      </c>
      <c r="F28" s="71">
        <v>2927.35</v>
      </c>
      <c r="G28" s="79">
        <f t="shared" si="7"/>
        <v>0.17844504982392315</v>
      </c>
      <c r="H28" s="4" t="s">
        <v>11</v>
      </c>
      <c r="I28" s="4" t="s">
        <v>12</v>
      </c>
      <c r="J28" s="4" t="s">
        <v>29</v>
      </c>
      <c r="K28" s="5">
        <v>110000</v>
      </c>
      <c r="L28" s="81">
        <f t="shared" si="8"/>
        <v>349752</v>
      </c>
      <c r="M28" s="6">
        <f t="shared" si="9"/>
        <v>2.1795636363636364</v>
      </c>
      <c r="N28" s="89">
        <v>74808.23</v>
      </c>
      <c r="O28" s="90">
        <f t="shared" si="10"/>
        <v>-0.31992518181818186</v>
      </c>
    </row>
    <row r="29" spans="1:29">
      <c r="B29" s="4" t="s">
        <v>9</v>
      </c>
      <c r="C29" s="4" t="s">
        <v>17</v>
      </c>
      <c r="D29" s="17" t="s">
        <v>52</v>
      </c>
      <c r="E29" s="17" t="s">
        <v>52</v>
      </c>
      <c r="F29" s="71">
        <v>2990.8199999999997</v>
      </c>
      <c r="G29" s="79">
        <f t="shared" si="7"/>
        <v>0.18231404646331523</v>
      </c>
      <c r="H29" s="4" t="s">
        <v>11</v>
      </c>
      <c r="I29" s="4" t="s">
        <v>53</v>
      </c>
      <c r="J29" s="4" t="s">
        <v>29</v>
      </c>
      <c r="K29" s="5">
        <v>600000</v>
      </c>
      <c r="L29" s="81">
        <f t="shared" si="8"/>
        <v>357336</v>
      </c>
      <c r="M29" s="6">
        <f t="shared" si="9"/>
        <v>-0.40444000000000002</v>
      </c>
      <c r="N29" s="89">
        <v>172439.98000000004</v>
      </c>
      <c r="O29" s="90">
        <f t="shared" si="10"/>
        <v>-0.71260003333333333</v>
      </c>
    </row>
    <row r="30" spans="1:29">
      <c r="B30" s="4" t="s">
        <v>9</v>
      </c>
      <c r="C30" s="4" t="s">
        <v>17</v>
      </c>
      <c r="D30" s="17" t="s">
        <v>54</v>
      </c>
      <c r="E30" s="17" t="s">
        <v>54</v>
      </c>
      <c r="F30" s="71">
        <v>5035.04</v>
      </c>
      <c r="G30" s="79">
        <f t="shared" si="7"/>
        <v>0.30692536378138796</v>
      </c>
      <c r="H30" s="4" t="s">
        <v>11</v>
      </c>
      <c r="I30" s="4" t="s">
        <v>55</v>
      </c>
      <c r="J30" s="4" t="s">
        <v>29</v>
      </c>
      <c r="K30" s="5">
        <v>800000</v>
      </c>
      <c r="L30" s="81">
        <f t="shared" si="8"/>
        <v>601574</v>
      </c>
      <c r="M30" s="6">
        <f t="shared" si="9"/>
        <v>-0.24803249999999999</v>
      </c>
      <c r="N30" s="89">
        <v>224725.52000000002</v>
      </c>
      <c r="O30" s="90">
        <f t="shared" si="10"/>
        <v>-0.71909310000000004</v>
      </c>
    </row>
    <row r="31" spans="1:29">
      <c r="B31" s="4" t="s">
        <v>9</v>
      </c>
      <c r="C31" s="4" t="s">
        <v>17</v>
      </c>
      <c r="D31" s="17" t="s">
        <v>56</v>
      </c>
      <c r="E31" s="17" t="s">
        <v>56</v>
      </c>
      <c r="F31" s="71">
        <v>3481.24</v>
      </c>
      <c r="G31" s="79">
        <f t="shared" si="7"/>
        <v>0.21220900994040146</v>
      </c>
      <c r="H31" s="4" t="s">
        <v>11</v>
      </c>
      <c r="I31" s="4" t="s">
        <v>57</v>
      </c>
      <c r="J31" s="4" t="s">
        <v>29</v>
      </c>
      <c r="K31" s="5">
        <v>450000</v>
      </c>
      <c r="L31" s="81">
        <f t="shared" si="8"/>
        <v>415930</v>
      </c>
      <c r="M31" s="6">
        <f t="shared" si="9"/>
        <v>-7.5711111111111062E-2</v>
      </c>
      <c r="N31" s="89">
        <v>59954.450000000004</v>
      </c>
      <c r="O31" s="90">
        <f t="shared" si="10"/>
        <v>-0.86676788888888889</v>
      </c>
    </row>
    <row r="32" spans="1:29" outlineLevel="1">
      <c r="B32" s="4" t="s">
        <v>9</v>
      </c>
      <c r="C32" s="12" t="s">
        <v>17</v>
      </c>
      <c r="D32" s="13" t="s">
        <v>643</v>
      </c>
      <c r="E32" s="13" t="s">
        <v>643</v>
      </c>
      <c r="F32" s="71">
        <v>1970.32</v>
      </c>
      <c r="G32" s="79">
        <f t="shared" si="7"/>
        <v>0.12010652999097213</v>
      </c>
      <c r="H32" s="4" t="s">
        <v>28</v>
      </c>
      <c r="I32" s="4" t="s">
        <v>12</v>
      </c>
      <c r="J32" s="4" t="s">
        <v>29</v>
      </c>
      <c r="K32" s="4"/>
      <c r="L32" s="81">
        <f t="shared" si="8"/>
        <v>235409</v>
      </c>
      <c r="M32" s="6" t="str">
        <f t="shared" si="9"/>
        <v/>
      </c>
      <c r="N32" s="89">
        <v>32182.02</v>
      </c>
      <c r="O32" s="90">
        <f t="shared" si="10"/>
        <v>0</v>
      </c>
    </row>
    <row r="33" spans="2:24">
      <c r="B33" s="4" t="s">
        <v>9</v>
      </c>
      <c r="C33" s="4" t="s">
        <v>18</v>
      </c>
      <c r="D33" s="17" t="s">
        <v>59</v>
      </c>
      <c r="E33" s="17" t="s">
        <v>59</v>
      </c>
      <c r="F33" s="71">
        <v>3728.39</v>
      </c>
      <c r="G33" s="79">
        <f t="shared" si="7"/>
        <v>0.12267988013639471</v>
      </c>
      <c r="H33" s="4" t="s">
        <v>11</v>
      </c>
      <c r="I33" s="4" t="s">
        <v>60</v>
      </c>
      <c r="J33" s="4" t="s">
        <v>29</v>
      </c>
      <c r="K33" s="5">
        <v>800000</v>
      </c>
      <c r="L33" s="81">
        <f t="shared" si="8"/>
        <v>417112</v>
      </c>
      <c r="M33" s="6">
        <f t="shared" si="9"/>
        <v>-0.47860999999999998</v>
      </c>
      <c r="N33" s="89">
        <v>247384.35</v>
      </c>
      <c r="O33" s="90">
        <f t="shared" si="10"/>
        <v>-0.69076956249999999</v>
      </c>
    </row>
    <row r="34" spans="2:24">
      <c r="B34" s="4" t="s">
        <v>9</v>
      </c>
      <c r="C34" s="4" t="s">
        <v>18</v>
      </c>
      <c r="D34" s="17" t="s">
        <v>61</v>
      </c>
      <c r="E34" s="17" t="s">
        <v>61</v>
      </c>
      <c r="F34" s="71">
        <v>7848.2599999999993</v>
      </c>
      <c r="G34" s="79">
        <f t="shared" si="7"/>
        <v>0.25824111642807246</v>
      </c>
      <c r="H34" s="4" t="s">
        <v>11</v>
      </c>
      <c r="I34" s="4" t="s">
        <v>62</v>
      </c>
      <c r="J34" s="4" t="s">
        <v>29</v>
      </c>
      <c r="K34" s="5">
        <v>800000</v>
      </c>
      <c r="L34" s="81">
        <f t="shared" si="8"/>
        <v>878020</v>
      </c>
      <c r="M34" s="6">
        <f t="shared" si="9"/>
        <v>9.7525000000000084E-2</v>
      </c>
      <c r="N34" s="89">
        <v>390980.85000000003</v>
      </c>
      <c r="O34" s="90">
        <f t="shared" si="10"/>
        <v>-0.51127393749999994</v>
      </c>
    </row>
    <row r="35" spans="2:24" outlineLevel="1">
      <c r="B35" s="4" t="s">
        <v>9</v>
      </c>
      <c r="C35" s="4" t="s">
        <v>18</v>
      </c>
      <c r="D35" s="17" t="s">
        <v>63</v>
      </c>
      <c r="E35" s="17" t="s">
        <v>63</v>
      </c>
      <c r="F35" s="71">
        <v>4724.329999999999</v>
      </c>
      <c r="G35" s="79">
        <f t="shared" si="7"/>
        <v>0.15545053981068865</v>
      </c>
      <c r="H35" s="4" t="s">
        <v>11</v>
      </c>
      <c r="I35" s="4" t="s">
        <v>12</v>
      </c>
      <c r="J35" s="4" t="s">
        <v>29</v>
      </c>
      <c r="K35" s="5">
        <v>250000</v>
      </c>
      <c r="L35" s="81">
        <f t="shared" si="8"/>
        <v>528532</v>
      </c>
      <c r="M35" s="6">
        <f t="shared" si="9"/>
        <v>1.114128</v>
      </c>
      <c r="N35" s="89">
        <v>94021.440000000017</v>
      </c>
      <c r="O35" s="90">
        <f t="shared" si="10"/>
        <v>-0.62391423999999995</v>
      </c>
    </row>
    <row r="36" spans="2:24" outlineLevel="1">
      <c r="B36" s="4" t="s">
        <v>9</v>
      </c>
      <c r="C36" s="4" t="s">
        <v>18</v>
      </c>
      <c r="D36" s="17" t="s">
        <v>64</v>
      </c>
      <c r="E36" s="17" t="s">
        <v>64</v>
      </c>
      <c r="F36" s="71">
        <v>3859.2200000000003</v>
      </c>
      <c r="G36" s="79">
        <f t="shared" si="7"/>
        <v>0.12698474328596987</v>
      </c>
      <c r="H36" s="4" t="s">
        <v>11</v>
      </c>
      <c r="I36" s="4" t="s">
        <v>12</v>
      </c>
      <c r="J36" s="4" t="s">
        <v>29</v>
      </c>
      <c r="K36" s="5">
        <v>950000</v>
      </c>
      <c r="L36" s="81">
        <f t="shared" si="8"/>
        <v>431748</v>
      </c>
      <c r="M36" s="6">
        <f t="shared" si="9"/>
        <v>-0.54552842105263155</v>
      </c>
      <c r="N36" s="89">
        <v>14956.49</v>
      </c>
      <c r="O36" s="90">
        <f t="shared" si="10"/>
        <v>-0.98425632631578952</v>
      </c>
    </row>
    <row r="37" spans="2:24" outlineLevel="1">
      <c r="B37" s="4" t="s">
        <v>9</v>
      </c>
      <c r="C37" s="4" t="s">
        <v>18</v>
      </c>
      <c r="D37" s="17" t="s">
        <v>65</v>
      </c>
      <c r="E37" s="17" t="s">
        <v>65</v>
      </c>
      <c r="F37" s="71">
        <v>4562.9800000000005</v>
      </c>
      <c r="G37" s="79">
        <f t="shared" si="7"/>
        <v>0.15014143892263587</v>
      </c>
      <c r="H37" s="4" t="s">
        <v>11</v>
      </c>
      <c r="I37" s="4" t="s">
        <v>12</v>
      </c>
      <c r="J37" s="4" t="s">
        <v>29</v>
      </c>
      <c r="K37" s="5">
        <v>350000</v>
      </c>
      <c r="L37" s="81">
        <f t="shared" si="8"/>
        <v>510481</v>
      </c>
      <c r="M37" s="6">
        <f t="shared" si="9"/>
        <v>0.45851714285714285</v>
      </c>
      <c r="N37" s="89">
        <v>22107.42</v>
      </c>
      <c r="O37" s="90">
        <f t="shared" si="10"/>
        <v>-0.93683594285714289</v>
      </c>
    </row>
    <row r="38" spans="2:24" outlineLevel="1">
      <c r="B38" s="4" t="s">
        <v>9</v>
      </c>
      <c r="C38" s="4" t="s">
        <v>18</v>
      </c>
      <c r="D38" s="17" t="s">
        <v>66</v>
      </c>
      <c r="E38" s="17" t="s">
        <v>66</v>
      </c>
      <c r="F38" s="71">
        <v>3391.4600000000005</v>
      </c>
      <c r="G38" s="79">
        <f t="shared" si="7"/>
        <v>0.11159345086951131</v>
      </c>
      <c r="H38" s="4" t="s">
        <v>11</v>
      </c>
      <c r="I38" s="4" t="s">
        <v>12</v>
      </c>
      <c r="J38" s="4" t="s">
        <v>29</v>
      </c>
      <c r="K38" s="5">
        <v>250000</v>
      </c>
      <c r="L38" s="81">
        <f t="shared" si="8"/>
        <v>379418</v>
      </c>
      <c r="M38" s="6">
        <f t="shared" si="9"/>
        <v>0.51767199999999991</v>
      </c>
      <c r="N38" s="89">
        <v>29922.75</v>
      </c>
      <c r="O38" s="90">
        <f t="shared" si="10"/>
        <v>-0.88030900000000001</v>
      </c>
    </row>
    <row r="39" spans="2:24" outlineLevel="1">
      <c r="B39" s="4" t="s">
        <v>9</v>
      </c>
      <c r="C39" s="12" t="s">
        <v>18</v>
      </c>
      <c r="D39" s="13" t="s">
        <v>67</v>
      </c>
      <c r="E39" s="13" t="s">
        <v>67</v>
      </c>
      <c r="F39" s="71">
        <v>0</v>
      </c>
      <c r="G39" s="79">
        <f t="shared" si="7"/>
        <v>0</v>
      </c>
      <c r="H39" s="4" t="s">
        <v>28</v>
      </c>
      <c r="I39" s="4" t="s">
        <v>12</v>
      </c>
      <c r="J39" s="4" t="s">
        <v>29</v>
      </c>
      <c r="K39" s="4"/>
      <c r="L39" s="81">
        <f t="shared" si="8"/>
        <v>0</v>
      </c>
      <c r="M39" s="6" t="str">
        <f t="shared" si="9"/>
        <v/>
      </c>
      <c r="N39" s="89">
        <v>0</v>
      </c>
      <c r="O39" s="90">
        <f t="shared" si="10"/>
        <v>0</v>
      </c>
    </row>
    <row r="40" spans="2:24" outlineLevel="1">
      <c r="B40" s="4" t="s">
        <v>9</v>
      </c>
      <c r="C40" s="12" t="s">
        <v>18</v>
      </c>
      <c r="D40" s="13" t="s">
        <v>68</v>
      </c>
      <c r="E40" s="13" t="s">
        <v>68</v>
      </c>
      <c r="F40" s="71">
        <v>0</v>
      </c>
      <c r="G40" s="79">
        <f t="shared" si="7"/>
        <v>0</v>
      </c>
      <c r="H40" s="4" t="s">
        <v>28</v>
      </c>
      <c r="I40" s="4" t="s">
        <v>12</v>
      </c>
      <c r="J40" s="4" t="s">
        <v>29</v>
      </c>
      <c r="K40" s="4"/>
      <c r="L40" s="81">
        <f t="shared" si="8"/>
        <v>0</v>
      </c>
      <c r="M40" s="6" t="str">
        <f t="shared" si="9"/>
        <v/>
      </c>
      <c r="N40" s="89">
        <v>0</v>
      </c>
      <c r="O40" s="90">
        <f t="shared" si="10"/>
        <v>0</v>
      </c>
    </row>
    <row r="41" spans="2:24" outlineLevel="1">
      <c r="B41" s="4" t="s">
        <v>9</v>
      </c>
      <c r="C41" s="12" t="s">
        <v>18</v>
      </c>
      <c r="D41" s="13" t="s">
        <v>69</v>
      </c>
      <c r="E41" s="13" t="s">
        <v>69</v>
      </c>
      <c r="F41" s="71">
        <v>0</v>
      </c>
      <c r="G41" s="79">
        <f t="shared" si="7"/>
        <v>0</v>
      </c>
      <c r="H41" s="4" t="s">
        <v>28</v>
      </c>
      <c r="I41" s="4" t="s">
        <v>12</v>
      </c>
      <c r="J41" s="4" t="s">
        <v>29</v>
      </c>
      <c r="K41" s="4"/>
      <c r="L41" s="81">
        <f t="shared" si="8"/>
        <v>0</v>
      </c>
      <c r="M41" s="6" t="str">
        <f t="shared" si="9"/>
        <v/>
      </c>
      <c r="N41" s="89">
        <v>0</v>
      </c>
      <c r="O41" s="90">
        <f t="shared" si="10"/>
        <v>0</v>
      </c>
    </row>
    <row r="42" spans="2:24" outlineLevel="1">
      <c r="B42" s="4" t="s">
        <v>9</v>
      </c>
      <c r="C42" s="12" t="s">
        <v>18</v>
      </c>
      <c r="D42" s="13" t="s">
        <v>70</v>
      </c>
      <c r="E42" s="13" t="s">
        <v>70</v>
      </c>
      <c r="F42" s="71">
        <v>2276.5700000000002</v>
      </c>
      <c r="G42" s="79">
        <f t="shared" si="7"/>
        <v>7.4908830546727173E-2</v>
      </c>
      <c r="H42" s="4" t="s">
        <v>28</v>
      </c>
      <c r="I42" s="4" t="s">
        <v>12</v>
      </c>
      <c r="J42" s="4" t="s">
        <v>29</v>
      </c>
      <c r="K42" s="4"/>
      <c r="L42" s="81">
        <f t="shared" si="8"/>
        <v>254690</v>
      </c>
      <c r="M42" s="6" t="str">
        <f t="shared" si="9"/>
        <v/>
      </c>
      <c r="N42" s="89">
        <v>11820.26</v>
      </c>
      <c r="O42" s="90">
        <f t="shared" si="10"/>
        <v>0</v>
      </c>
    </row>
    <row r="43" spans="2:24" ht="24" customHeight="1">
      <c r="B43" s="7" t="s">
        <v>9</v>
      </c>
      <c r="C43" s="7" t="s">
        <v>19</v>
      </c>
      <c r="D43" s="7" t="s">
        <v>19</v>
      </c>
      <c r="E43" s="7" t="s">
        <v>19</v>
      </c>
      <c r="F43" s="75">
        <f>SUBTOTAL(9,F12:F42)</f>
        <v>141831.23000000001</v>
      </c>
      <c r="G43" s="80">
        <f t="shared" si="7"/>
        <v>1</v>
      </c>
      <c r="H43" s="7"/>
      <c r="I43" s="7" t="s">
        <v>20</v>
      </c>
      <c r="J43" s="7" t="s">
        <v>21</v>
      </c>
      <c r="K43" s="8">
        <f>SUM(K12:K42)</f>
        <v>16910000</v>
      </c>
      <c r="L43" s="8">
        <f>SUM(L12:L42)</f>
        <v>16910004</v>
      </c>
      <c r="M43" s="9">
        <f t="shared" si="9"/>
        <v>2.3654642222759037E-7</v>
      </c>
    </row>
    <row r="44" spans="2:24" ht="24" customHeight="1">
      <c r="B44" s="21"/>
      <c r="C44" s="21"/>
      <c r="D44" s="21"/>
      <c r="E44" s="21"/>
      <c r="F44" s="21"/>
      <c r="G44" s="21"/>
      <c r="H44" s="21"/>
      <c r="I44" s="289"/>
      <c r="J44" s="289"/>
      <c r="K44" s="22"/>
      <c r="L44" s="22"/>
      <c r="M44" s="23"/>
    </row>
    <row r="45" spans="2:24">
      <c r="G45" s="67" t="s">
        <v>642</v>
      </c>
    </row>
    <row r="46" spans="2:24" ht="36">
      <c r="B46" s="24" t="s">
        <v>0</v>
      </c>
      <c r="C46" s="25" t="s">
        <v>1</v>
      </c>
      <c r="D46" s="25" t="s">
        <v>2</v>
      </c>
      <c r="E46" s="25" t="s">
        <v>3</v>
      </c>
      <c r="F46" s="1" t="s">
        <v>630</v>
      </c>
      <c r="G46" s="1" t="s">
        <v>633</v>
      </c>
      <c r="H46" s="25" t="s">
        <v>4</v>
      </c>
      <c r="I46" s="25" t="s">
        <v>5</v>
      </c>
      <c r="J46" s="25" t="s">
        <v>6</v>
      </c>
      <c r="K46" s="26" t="s">
        <v>7</v>
      </c>
      <c r="L46" s="72" t="s">
        <v>631</v>
      </c>
      <c r="M46" s="3" t="s">
        <v>635</v>
      </c>
      <c r="N46" s="27"/>
      <c r="O46" s="27"/>
      <c r="Q46" s="27"/>
      <c r="R46" s="27"/>
      <c r="S46" s="27"/>
      <c r="T46" s="27"/>
      <c r="U46" s="27"/>
      <c r="V46" s="27"/>
      <c r="W46" s="27"/>
      <c r="X46" s="27"/>
    </row>
    <row r="47" spans="2:24">
      <c r="B47" s="28" t="s">
        <v>9</v>
      </c>
      <c r="C47" s="29" t="s">
        <v>10</v>
      </c>
      <c r="D47" s="29" t="s">
        <v>30</v>
      </c>
      <c r="E47" s="29" t="s">
        <v>71</v>
      </c>
      <c r="F47" s="71">
        <v>693.93</v>
      </c>
      <c r="G47" s="79">
        <f>F47/(VLOOKUP($D47,$D$12:$F$42,3,0))</f>
        <v>0.11289766275010006</v>
      </c>
      <c r="H47" s="29" t="s">
        <v>11</v>
      </c>
      <c r="I47" s="29" t="s">
        <v>72</v>
      </c>
      <c r="J47" s="29" t="s">
        <v>73</v>
      </c>
      <c r="K47" s="30">
        <f>SUMIF('组别目标-标箱组'!$L:$L,目标测算汇总!$I47,'组别目标-标箱组'!O:O)</f>
        <v>135000</v>
      </c>
      <c r="L47" s="81">
        <f>ROUND(VLOOKUP(D47,$D$12:$L$42,9,0)*G47,0)</f>
        <v>88669</v>
      </c>
      <c r="M47" s="6">
        <f>IFERROR(L47/K47-1,"")</f>
        <v>-0.3431925925925926</v>
      </c>
      <c r="N47" s="87"/>
      <c r="O47" s="87"/>
      <c r="Q47" s="27"/>
      <c r="R47" s="27"/>
      <c r="S47" s="27"/>
      <c r="T47" s="27"/>
      <c r="U47" s="27"/>
      <c r="V47" s="27"/>
      <c r="W47" s="27"/>
      <c r="X47" s="27"/>
    </row>
    <row r="48" spans="2:24">
      <c r="B48" s="28" t="s">
        <v>9</v>
      </c>
      <c r="C48" s="29" t="s">
        <v>10</v>
      </c>
      <c r="D48" s="29" t="s">
        <v>35</v>
      </c>
      <c r="E48" s="29" t="s">
        <v>74</v>
      </c>
      <c r="F48" s="71">
        <v>540.09999999999991</v>
      </c>
      <c r="G48" s="79">
        <f t="shared" ref="G48:G75" si="13">F48/(VLOOKUP($D48,$D$12:$F$42,3,0))</f>
        <v>5.3129903154249841E-2</v>
      </c>
      <c r="H48" s="29" t="s">
        <v>11</v>
      </c>
      <c r="I48" s="29" t="s">
        <v>75</v>
      </c>
      <c r="J48" s="29" t="s">
        <v>73</v>
      </c>
      <c r="K48" s="30">
        <f>SUMIF('组别目标-标箱组'!$L:$L,目标测算汇总!$I48,'组别目标-标箱组'!O:O)</f>
        <v>320000</v>
      </c>
      <c r="L48" s="81">
        <f t="shared" ref="L48:L75" si="14">ROUND(VLOOKUP(D48,$D$12:$L$42,9,0)*G48,0)</f>
        <v>69013</v>
      </c>
      <c r="M48" s="6">
        <f t="shared" ref="M48:M75" si="15">IFERROR(L48/K48-1,"")</f>
        <v>-0.78433437500000003</v>
      </c>
      <c r="N48" s="87"/>
      <c r="O48" s="87"/>
      <c r="Q48" s="27"/>
      <c r="R48" s="27"/>
      <c r="S48" s="27"/>
      <c r="T48" s="27"/>
      <c r="U48" s="27"/>
      <c r="V48" s="27"/>
      <c r="W48" s="27"/>
      <c r="X48" s="27"/>
    </row>
    <row r="49" spans="2:24">
      <c r="B49" s="28" t="s">
        <v>9</v>
      </c>
      <c r="C49" s="29" t="s">
        <v>16</v>
      </c>
      <c r="D49" s="29" t="s">
        <v>49</v>
      </c>
      <c r="E49" s="29" t="s">
        <v>88</v>
      </c>
      <c r="F49" s="71">
        <v>476.7</v>
      </c>
      <c r="G49" s="79">
        <f t="shared" si="13"/>
        <v>0.13686909434406486</v>
      </c>
      <c r="H49" s="29" t="s">
        <v>11</v>
      </c>
      <c r="I49" s="29" t="s">
        <v>89</v>
      </c>
      <c r="J49" s="29" t="s">
        <v>73</v>
      </c>
      <c r="K49" s="30">
        <f>SUMIF('组别目标-标箱组'!$L:$L,目标测算汇总!$I49,'组别目标-标箱组'!O:O)</f>
        <v>255000</v>
      </c>
      <c r="L49" s="81">
        <f t="shared" si="14"/>
        <v>61126</v>
      </c>
      <c r="M49" s="6">
        <f>IFERROR(L49/K49-1,"")</f>
        <v>-0.7602901960784314</v>
      </c>
      <c r="N49" s="87"/>
      <c r="O49" s="87"/>
      <c r="Q49" s="35"/>
      <c r="R49" s="36"/>
      <c r="S49" s="36"/>
      <c r="T49" s="37"/>
      <c r="U49" s="36"/>
      <c r="V49" s="37"/>
      <c r="W49" s="36"/>
      <c r="X49" s="37"/>
    </row>
    <row r="50" spans="2:24">
      <c r="B50" s="28" t="s">
        <v>9</v>
      </c>
      <c r="C50" s="29" t="s">
        <v>16</v>
      </c>
      <c r="D50" s="29" t="s">
        <v>46</v>
      </c>
      <c r="E50" s="29" t="s">
        <v>76</v>
      </c>
      <c r="F50" s="71">
        <v>196.07999999999998</v>
      </c>
      <c r="G50" s="79">
        <f t="shared" si="13"/>
        <v>3.9814976506564757E-2</v>
      </c>
      <c r="H50" s="29" t="s">
        <v>11</v>
      </c>
      <c r="I50" s="31" t="s">
        <v>77</v>
      </c>
      <c r="J50" s="29" t="s">
        <v>73</v>
      </c>
      <c r="K50" s="30">
        <f>SUMIF('组别目标-标箱组'!$L:$L,目标测算汇总!$I50,'组别目标-标箱组'!O:O)</f>
        <v>120000</v>
      </c>
      <c r="L50" s="81">
        <f>ROUND(VLOOKUP(D50,$D$12:$L$42,9,0)*G50,0)</f>
        <v>25143</v>
      </c>
      <c r="M50" s="6">
        <f t="shared" si="15"/>
        <v>-0.79047500000000004</v>
      </c>
      <c r="N50" s="87"/>
      <c r="O50" s="87"/>
      <c r="Q50" s="27"/>
      <c r="R50" s="27"/>
      <c r="S50" s="27"/>
      <c r="T50" s="27"/>
      <c r="U50" s="27"/>
      <c r="V50" s="27"/>
      <c r="W50" s="27"/>
      <c r="X50" s="27"/>
    </row>
    <row r="51" spans="2:24">
      <c r="B51" s="28" t="s">
        <v>9</v>
      </c>
      <c r="C51" s="29" t="s">
        <v>16</v>
      </c>
      <c r="D51" s="29" t="s">
        <v>46</v>
      </c>
      <c r="E51" s="29" t="s">
        <v>78</v>
      </c>
      <c r="F51" s="71">
        <v>283.5</v>
      </c>
      <c r="G51" s="79">
        <f t="shared" si="13"/>
        <v>5.7566023253830631E-2</v>
      </c>
      <c r="H51" s="29" t="s">
        <v>11</v>
      </c>
      <c r="I51" s="31" t="s">
        <v>79</v>
      </c>
      <c r="J51" s="29" t="s">
        <v>73</v>
      </c>
      <c r="K51" s="30">
        <f>SUMIF('组别目标-标箱组'!$L:$L,目标测算汇总!$I51,'组别目标-标箱组'!O:O)</f>
        <v>105000</v>
      </c>
      <c r="L51" s="81">
        <f t="shared" si="14"/>
        <v>36353</v>
      </c>
      <c r="M51" s="6">
        <f t="shared" si="15"/>
        <v>-0.65378095238095235</v>
      </c>
      <c r="N51" s="87"/>
      <c r="O51" s="87"/>
      <c r="Q51" s="27"/>
      <c r="R51" s="27"/>
      <c r="S51" s="27"/>
      <c r="T51" s="27"/>
      <c r="U51" s="27"/>
      <c r="V51" s="27"/>
      <c r="W51" s="27"/>
      <c r="X51" s="27"/>
    </row>
    <row r="52" spans="2:24">
      <c r="B52" s="28" t="s">
        <v>9</v>
      </c>
      <c r="C52" s="29" t="s">
        <v>16</v>
      </c>
      <c r="D52" s="29" t="s">
        <v>46</v>
      </c>
      <c r="E52" s="29" t="s">
        <v>80</v>
      </c>
      <c r="F52" s="71">
        <v>400.1</v>
      </c>
      <c r="G52" s="79">
        <f t="shared" si="13"/>
        <v>8.1242207773748285E-2</v>
      </c>
      <c r="H52" s="29" t="s">
        <v>11</v>
      </c>
      <c r="I52" s="31" t="s">
        <v>81</v>
      </c>
      <c r="J52" s="29" t="s">
        <v>73</v>
      </c>
      <c r="K52" s="30">
        <f>SUMIF('组别目标-标箱组'!$L:$L,目标测算汇总!$I52,'组别目标-标箱组'!O:O)</f>
        <v>115000</v>
      </c>
      <c r="L52" s="81">
        <f t="shared" si="14"/>
        <v>51304</v>
      </c>
      <c r="M52" s="6">
        <f t="shared" si="15"/>
        <v>-0.55387826086956515</v>
      </c>
      <c r="N52" s="87"/>
      <c r="O52" s="87"/>
      <c r="Q52" s="27"/>
      <c r="R52" s="27"/>
      <c r="S52" s="27"/>
      <c r="T52" s="27"/>
      <c r="U52" s="27"/>
      <c r="V52" s="27"/>
      <c r="W52" s="27"/>
      <c r="X52" s="27"/>
    </row>
    <row r="53" spans="2:24">
      <c r="B53" s="28" t="s">
        <v>9</v>
      </c>
      <c r="C53" s="29" t="s">
        <v>16</v>
      </c>
      <c r="D53" s="29" t="s">
        <v>46</v>
      </c>
      <c r="E53" s="29" t="s">
        <v>82</v>
      </c>
      <c r="F53" s="71">
        <v>466.19</v>
      </c>
      <c r="G53" s="79">
        <f t="shared" si="13"/>
        <v>9.4662096580964028E-2</v>
      </c>
      <c r="H53" s="29" t="s">
        <v>11</v>
      </c>
      <c r="I53" s="31" t="s">
        <v>83</v>
      </c>
      <c r="J53" s="29" t="s">
        <v>73</v>
      </c>
      <c r="K53" s="30">
        <f>SUMIF('组别目标-标箱组'!$L:$L,目标测算汇总!$I53,'组别目标-标箱组'!O:O)</f>
        <v>115000</v>
      </c>
      <c r="L53" s="81">
        <f t="shared" si="14"/>
        <v>59778</v>
      </c>
      <c r="M53" s="6">
        <f t="shared" si="15"/>
        <v>-0.48019130434782609</v>
      </c>
      <c r="N53" s="87"/>
      <c r="O53" s="87"/>
      <c r="Q53" s="27"/>
      <c r="R53" s="27"/>
      <c r="S53" s="27"/>
      <c r="T53" s="27"/>
      <c r="U53" s="27"/>
      <c r="V53" s="27"/>
      <c r="W53" s="27"/>
      <c r="X53" s="27"/>
    </row>
    <row r="54" spans="2:24">
      <c r="B54" s="28" t="s">
        <v>9</v>
      </c>
      <c r="C54" s="29" t="s">
        <v>16</v>
      </c>
      <c r="D54" s="29" t="s">
        <v>46</v>
      </c>
      <c r="E54" s="29" t="s">
        <v>84</v>
      </c>
      <c r="F54" s="71">
        <v>263.10000000000002</v>
      </c>
      <c r="G54" s="79">
        <f t="shared" si="13"/>
        <v>5.3423706236623777E-2</v>
      </c>
      <c r="H54" s="29" t="s">
        <v>11</v>
      </c>
      <c r="I54" s="31" t="s">
        <v>85</v>
      </c>
      <c r="J54" s="29" t="s">
        <v>73</v>
      </c>
      <c r="K54" s="30">
        <f>SUMIF('组别目标-标箱组'!$L:$L,目标测算汇总!$I54,'组别目标-标箱组'!O:O)</f>
        <v>110000</v>
      </c>
      <c r="L54" s="81">
        <f t="shared" si="14"/>
        <v>33737</v>
      </c>
      <c r="M54" s="6">
        <f t="shared" si="15"/>
        <v>-0.69330000000000003</v>
      </c>
      <c r="N54" s="87"/>
      <c r="O54" s="87"/>
      <c r="Q54" s="27"/>
      <c r="R54" s="27"/>
      <c r="S54" s="27"/>
      <c r="T54" s="27"/>
      <c r="U54" s="27"/>
      <c r="V54" s="27"/>
      <c r="W54" s="27"/>
      <c r="X54" s="27"/>
    </row>
    <row r="55" spans="2:24">
      <c r="B55" s="28" t="s">
        <v>9</v>
      </c>
      <c r="C55" s="29" t="s">
        <v>16</v>
      </c>
      <c r="D55" s="29" t="s">
        <v>46</v>
      </c>
      <c r="E55" s="29" t="s">
        <v>86</v>
      </c>
      <c r="F55" s="71">
        <v>328.21000000000004</v>
      </c>
      <c r="G55" s="79">
        <f t="shared" si="13"/>
        <v>6.6644601383209004E-2</v>
      </c>
      <c r="H55" s="29" t="s">
        <v>11</v>
      </c>
      <c r="I55" s="31" t="s">
        <v>87</v>
      </c>
      <c r="J55" s="29" t="s">
        <v>73</v>
      </c>
      <c r="K55" s="30">
        <f>SUMIF('组别目标-标箱组'!$L:$L,目标测算汇总!$I55,'组别目标-标箱组'!O:O)</f>
        <v>135000</v>
      </c>
      <c r="L55" s="81">
        <f t="shared" si="14"/>
        <v>42086</v>
      </c>
      <c r="M55" s="6">
        <f t="shared" si="15"/>
        <v>-0.68825185185185189</v>
      </c>
      <c r="N55" s="87"/>
      <c r="O55" s="87"/>
      <c r="Q55" s="32"/>
      <c r="R55" s="33"/>
      <c r="S55" s="33"/>
      <c r="T55" s="34"/>
      <c r="U55" s="33"/>
      <c r="V55" s="34"/>
      <c r="W55" s="33"/>
      <c r="X55" s="34"/>
    </row>
    <row r="56" spans="2:24">
      <c r="B56" s="28" t="s">
        <v>9</v>
      </c>
      <c r="C56" s="29" t="s">
        <v>15</v>
      </c>
      <c r="D56" s="29" t="s">
        <v>44</v>
      </c>
      <c r="E56" s="29" t="s">
        <v>90</v>
      </c>
      <c r="F56" s="71">
        <v>541.70000000000005</v>
      </c>
      <c r="G56" s="79">
        <f t="shared" si="13"/>
        <v>5.4860862845817385E-2</v>
      </c>
      <c r="H56" s="29" t="s">
        <v>11</v>
      </c>
      <c r="I56" s="38" t="s">
        <v>91</v>
      </c>
      <c r="J56" s="29" t="s">
        <v>73</v>
      </c>
      <c r="K56" s="30">
        <f>SUMIF('组别目标-标箱组'!$L:$L,目标测算汇总!$I56,'组别目标-标箱组'!O:O)</f>
        <v>200000</v>
      </c>
      <c r="L56" s="81">
        <f t="shared" si="14"/>
        <v>89121</v>
      </c>
      <c r="M56" s="6">
        <f t="shared" si="15"/>
        <v>-0.55439499999999997</v>
      </c>
      <c r="N56" s="87"/>
      <c r="O56" s="87"/>
      <c r="Q56" s="27"/>
    </row>
    <row r="57" spans="2:24">
      <c r="B57" s="28" t="s">
        <v>9</v>
      </c>
      <c r="C57" s="29" t="s">
        <v>15</v>
      </c>
      <c r="D57" s="29" t="s">
        <v>44</v>
      </c>
      <c r="E57" s="29" t="s">
        <v>92</v>
      </c>
      <c r="F57" s="71">
        <v>492.22999999999996</v>
      </c>
      <c r="G57" s="79">
        <f t="shared" si="13"/>
        <v>4.9850770756131965E-2</v>
      </c>
      <c r="H57" s="29" t="s">
        <v>11</v>
      </c>
      <c r="I57" s="38" t="s">
        <v>93</v>
      </c>
      <c r="J57" s="29" t="s">
        <v>73</v>
      </c>
      <c r="K57" s="30">
        <f>SUMIF('组别目标-标箱组'!$L:$L,目标测算汇总!$I57,'组别目标-标箱组'!O:O)</f>
        <v>260000</v>
      </c>
      <c r="L57" s="81">
        <f t="shared" si="14"/>
        <v>80982</v>
      </c>
      <c r="M57" s="6">
        <f t="shared" si="15"/>
        <v>-0.68853076923076917</v>
      </c>
      <c r="N57" s="87"/>
      <c r="O57" s="87"/>
      <c r="Q57" s="27"/>
    </row>
    <row r="58" spans="2:24">
      <c r="B58" s="28" t="s">
        <v>9</v>
      </c>
      <c r="C58" s="29" t="s">
        <v>15</v>
      </c>
      <c r="D58" s="29" t="s">
        <v>44</v>
      </c>
      <c r="E58" s="29" t="s">
        <v>94</v>
      </c>
      <c r="F58" s="71">
        <v>449.93</v>
      </c>
      <c r="G58" s="79">
        <f t="shared" si="13"/>
        <v>4.5566823002065007E-2</v>
      </c>
      <c r="H58" s="29" t="s">
        <v>11</v>
      </c>
      <c r="I58" s="38" t="s">
        <v>95</v>
      </c>
      <c r="J58" s="29" t="s">
        <v>73</v>
      </c>
      <c r="K58" s="30">
        <f>SUMIF('组别目标-标箱组'!$L:$L,目标测算汇总!$I58,'组别目标-标箱组'!O:O)</f>
        <v>120000</v>
      </c>
      <c r="L58" s="81">
        <f t="shared" si="14"/>
        <v>74023</v>
      </c>
      <c r="M58" s="6">
        <f t="shared" si="15"/>
        <v>-0.38314166666666671</v>
      </c>
      <c r="N58" s="87"/>
      <c r="O58" s="87"/>
    </row>
    <row r="59" spans="2:24">
      <c r="B59" s="28" t="s">
        <v>9</v>
      </c>
      <c r="C59" s="29" t="s">
        <v>15</v>
      </c>
      <c r="D59" s="29" t="s">
        <v>44</v>
      </c>
      <c r="E59" s="29" t="s">
        <v>96</v>
      </c>
      <c r="F59" s="71">
        <v>252.68</v>
      </c>
      <c r="G59" s="79">
        <f t="shared" si="13"/>
        <v>2.5590258120511605E-2</v>
      </c>
      <c r="H59" s="29" t="s">
        <v>11</v>
      </c>
      <c r="I59" s="38" t="s">
        <v>97</v>
      </c>
      <c r="J59" s="29" t="s">
        <v>73</v>
      </c>
      <c r="K59" s="30">
        <f>SUMIF('组别目标-标箱组'!$L:$L,目标测算汇总!$I59,'组别目标-标箱组'!O:O)</f>
        <v>140000</v>
      </c>
      <c r="L59" s="81">
        <f t="shared" si="14"/>
        <v>41571</v>
      </c>
      <c r="M59" s="6">
        <f t="shared" si="15"/>
        <v>-0.7030642857142857</v>
      </c>
      <c r="N59" s="87"/>
      <c r="O59" s="87"/>
    </row>
    <row r="60" spans="2:24">
      <c r="B60" s="28" t="s">
        <v>9</v>
      </c>
      <c r="C60" s="29" t="s">
        <v>15</v>
      </c>
      <c r="D60" s="29" t="s">
        <v>44</v>
      </c>
      <c r="E60" s="29" t="s">
        <v>98</v>
      </c>
      <c r="F60" s="71">
        <v>707.89</v>
      </c>
      <c r="G60" s="79">
        <f t="shared" si="13"/>
        <v>7.1691815026630357E-2</v>
      </c>
      <c r="H60" s="29" t="s">
        <v>11</v>
      </c>
      <c r="I60" s="38" t="s">
        <v>99</v>
      </c>
      <c r="J60" s="29" t="s">
        <v>73</v>
      </c>
      <c r="K60" s="30">
        <f>SUMIF('组别目标-标箱组'!$L:$L,目标测算汇总!$I60,'组别目标-标箱组'!O:O)</f>
        <v>230000</v>
      </c>
      <c r="L60" s="81">
        <f t="shared" si="14"/>
        <v>116463</v>
      </c>
      <c r="M60" s="6">
        <f t="shared" si="15"/>
        <v>-0.49363913043478258</v>
      </c>
      <c r="N60" s="87"/>
      <c r="O60" s="87"/>
    </row>
    <row r="61" spans="2:24">
      <c r="B61" s="28" t="s">
        <v>9</v>
      </c>
      <c r="C61" s="29" t="s">
        <v>15</v>
      </c>
      <c r="D61" s="29" t="s">
        <v>44</v>
      </c>
      <c r="E61" s="29" t="s">
        <v>100</v>
      </c>
      <c r="F61" s="71">
        <v>297.83</v>
      </c>
      <c r="G61" s="79">
        <f t="shared" si="13"/>
        <v>3.0162840652334853E-2</v>
      </c>
      <c r="H61" s="29" t="s">
        <v>11</v>
      </c>
      <c r="I61" s="38" t="s">
        <v>101</v>
      </c>
      <c r="J61" s="29" t="s">
        <v>73</v>
      </c>
      <c r="K61" s="30">
        <f>SUMIF('组别目标-标箱组'!$L:$L,目标测算汇总!$I61,'组别目标-标箱组'!O:O)</f>
        <v>240000</v>
      </c>
      <c r="L61" s="81">
        <f t="shared" si="14"/>
        <v>48999</v>
      </c>
      <c r="M61" s="6">
        <f t="shared" si="15"/>
        <v>-0.79583749999999998</v>
      </c>
      <c r="N61" s="87"/>
      <c r="O61" s="87"/>
    </row>
    <row r="62" spans="2:24">
      <c r="B62" s="28" t="s">
        <v>9</v>
      </c>
      <c r="C62" s="29" t="s">
        <v>15</v>
      </c>
      <c r="D62" s="29" t="s">
        <v>44</v>
      </c>
      <c r="E62" s="29" t="s">
        <v>102</v>
      </c>
      <c r="F62" s="71">
        <v>497.66999999999996</v>
      </c>
      <c r="G62" s="79">
        <f t="shared" si="13"/>
        <v>5.0401708717884318E-2</v>
      </c>
      <c r="H62" s="29" t="s">
        <v>11</v>
      </c>
      <c r="I62" s="38" t="s">
        <v>103</v>
      </c>
      <c r="J62" s="29" t="s">
        <v>73</v>
      </c>
      <c r="K62" s="30">
        <f>SUMIF('组别目标-标箱组'!$L:$L,目标测算汇总!$I62,'组别目标-标箱组'!O:O)</f>
        <v>240000</v>
      </c>
      <c r="L62" s="81">
        <f t="shared" si="14"/>
        <v>81877</v>
      </c>
      <c r="M62" s="6">
        <f t="shared" si="15"/>
        <v>-0.65884583333333335</v>
      </c>
      <c r="N62" s="87"/>
      <c r="O62" s="87"/>
    </row>
    <row r="63" spans="2:24">
      <c r="B63" s="28" t="s">
        <v>9</v>
      </c>
      <c r="C63" s="29" t="s">
        <v>15</v>
      </c>
      <c r="D63" s="29" t="s">
        <v>44</v>
      </c>
      <c r="E63" s="29" t="s">
        <v>104</v>
      </c>
      <c r="F63" s="71">
        <v>527.26</v>
      </c>
      <c r="G63" s="79">
        <f t="shared" si="13"/>
        <v>5.3398446638518872E-2</v>
      </c>
      <c r="H63" s="29" t="s">
        <v>11</v>
      </c>
      <c r="I63" s="38" t="s">
        <v>105</v>
      </c>
      <c r="J63" s="29" t="s">
        <v>73</v>
      </c>
      <c r="K63" s="30">
        <f>SUMIF('组别目标-标箱组'!$L:$L,目标测算汇总!$I63,'组别目标-标箱组'!O:O)</f>
        <v>250000</v>
      </c>
      <c r="L63" s="81">
        <f t="shared" si="14"/>
        <v>86745</v>
      </c>
      <c r="M63" s="6">
        <f t="shared" si="15"/>
        <v>-0.65301999999999993</v>
      </c>
      <c r="N63" s="87"/>
      <c r="O63" s="87"/>
    </row>
    <row r="64" spans="2:24">
      <c r="B64" s="28" t="s">
        <v>9</v>
      </c>
      <c r="C64" s="29" t="s">
        <v>15</v>
      </c>
      <c r="D64" s="29" t="s">
        <v>44</v>
      </c>
      <c r="E64" s="29" t="s">
        <v>106</v>
      </c>
      <c r="F64" s="71">
        <v>391.21</v>
      </c>
      <c r="G64" s="79">
        <f t="shared" si="13"/>
        <v>3.9619933826679374E-2</v>
      </c>
      <c r="H64" s="29" t="s">
        <v>11</v>
      </c>
      <c r="I64" s="38" t="s">
        <v>107</v>
      </c>
      <c r="J64" s="29" t="s">
        <v>73</v>
      </c>
      <c r="K64" s="30">
        <f>SUMIF('组别目标-标箱组'!$L:$L,目标测算汇总!$I64,'组别目标-标箱组'!O:O)</f>
        <v>250000</v>
      </c>
      <c r="L64" s="81">
        <f t="shared" si="14"/>
        <v>64362</v>
      </c>
      <c r="M64" s="6">
        <f t="shared" si="15"/>
        <v>-0.74255199999999999</v>
      </c>
      <c r="N64" s="87"/>
      <c r="O64" s="87"/>
    </row>
    <row r="65" spans="2:15">
      <c r="B65" s="28" t="s">
        <v>9</v>
      </c>
      <c r="C65" s="29" t="s">
        <v>15</v>
      </c>
      <c r="D65" s="29" t="s">
        <v>41</v>
      </c>
      <c r="E65" s="29" t="s">
        <v>108</v>
      </c>
      <c r="F65" s="71">
        <v>657.7299999999999</v>
      </c>
      <c r="G65" s="79">
        <f t="shared" si="13"/>
        <v>9.8945750054908854E-2</v>
      </c>
      <c r="H65" s="29" t="s">
        <v>11</v>
      </c>
      <c r="I65" s="29" t="s">
        <v>109</v>
      </c>
      <c r="J65" s="29" t="s">
        <v>73</v>
      </c>
      <c r="K65" s="30">
        <f>SUMIF('组别目标-标箱组'!$L:$L,目标测算汇总!$I65,'组别目标-标箱组'!O:O)</f>
        <v>187500</v>
      </c>
      <c r="L65" s="81">
        <f t="shared" si="14"/>
        <v>108210</v>
      </c>
      <c r="M65" s="6">
        <f t="shared" si="15"/>
        <v>-0.42288000000000003</v>
      </c>
      <c r="N65" s="87"/>
      <c r="O65" s="87"/>
    </row>
    <row r="66" spans="2:15">
      <c r="B66" s="28" t="s">
        <v>9</v>
      </c>
      <c r="C66" s="29" t="s">
        <v>15</v>
      </c>
      <c r="D66" s="29" t="s">
        <v>41</v>
      </c>
      <c r="E66" s="29" t="s">
        <v>110</v>
      </c>
      <c r="F66" s="71">
        <v>641.78000000000009</v>
      </c>
      <c r="G66" s="79">
        <f t="shared" si="13"/>
        <v>9.6546308470404907E-2</v>
      </c>
      <c r="H66" s="29" t="s">
        <v>11</v>
      </c>
      <c r="I66" s="29" t="s">
        <v>111</v>
      </c>
      <c r="J66" s="29" t="s">
        <v>73</v>
      </c>
      <c r="K66" s="30">
        <f>SUMIF('组别目标-标箱组'!$L:$L,目标测算汇总!$I66,'组别目标-标箱组'!O:O)</f>
        <v>187500</v>
      </c>
      <c r="L66" s="81">
        <f t="shared" si="14"/>
        <v>105586</v>
      </c>
      <c r="M66" s="6">
        <f t="shared" si="15"/>
        <v>-0.43687466666666663</v>
      </c>
      <c r="N66" s="87"/>
      <c r="O66" s="87"/>
    </row>
    <row r="67" spans="2:15">
      <c r="B67" s="28" t="s">
        <v>9</v>
      </c>
      <c r="C67" s="29" t="s">
        <v>15</v>
      </c>
      <c r="D67" s="29" t="s">
        <v>41</v>
      </c>
      <c r="E67" s="29" t="s">
        <v>112</v>
      </c>
      <c r="F67" s="71">
        <v>501.75000000000006</v>
      </c>
      <c r="G67" s="79">
        <f t="shared" si="13"/>
        <v>7.5480866145759704E-2</v>
      </c>
      <c r="H67" s="29" t="s">
        <v>11</v>
      </c>
      <c r="I67" s="29" t="s">
        <v>113</v>
      </c>
      <c r="J67" s="29" t="s">
        <v>73</v>
      </c>
      <c r="K67" s="30">
        <f>SUMIF('组别目标-标箱组'!$L:$L,目标测算汇总!$I67,'组别目标-标箱组'!O:O)</f>
        <v>187500</v>
      </c>
      <c r="L67" s="81">
        <f t="shared" si="14"/>
        <v>82548</v>
      </c>
      <c r="M67" s="6">
        <f t="shared" si="15"/>
        <v>-0.55974400000000002</v>
      </c>
      <c r="N67" s="87"/>
      <c r="O67" s="87"/>
    </row>
    <row r="68" spans="2:15">
      <c r="B68" s="28" t="s">
        <v>9</v>
      </c>
      <c r="C68" s="29" t="s">
        <v>15</v>
      </c>
      <c r="D68" s="29" t="s">
        <v>41</v>
      </c>
      <c r="E68" s="29" t="s">
        <v>114</v>
      </c>
      <c r="F68" s="71">
        <v>584</v>
      </c>
      <c r="G68" s="79">
        <f t="shared" si="13"/>
        <v>8.7854162090929069E-2</v>
      </c>
      <c r="H68" s="29" t="s">
        <v>11</v>
      </c>
      <c r="I68" s="29" t="s">
        <v>115</v>
      </c>
      <c r="J68" s="29" t="s">
        <v>73</v>
      </c>
      <c r="K68" s="30">
        <f>SUMIF('组别目标-标箱组'!$L:$L,目标测算汇总!$I68,'组别目标-标箱组'!O:O)</f>
        <v>187500</v>
      </c>
      <c r="L68" s="81">
        <f t="shared" si="14"/>
        <v>96080</v>
      </c>
      <c r="M68" s="6">
        <f t="shared" si="15"/>
        <v>-0.4875733333333333</v>
      </c>
      <c r="N68" s="87"/>
      <c r="O68" s="87"/>
    </row>
    <row r="69" spans="2:15">
      <c r="B69" s="28" t="s">
        <v>9</v>
      </c>
      <c r="C69" s="29" t="s">
        <v>17</v>
      </c>
      <c r="D69" s="29" t="s">
        <v>52</v>
      </c>
      <c r="E69" s="29" t="s">
        <v>116</v>
      </c>
      <c r="F69" s="71">
        <v>704.85</v>
      </c>
      <c r="G69" s="79">
        <f t="shared" si="13"/>
        <v>0.23567115373041511</v>
      </c>
      <c r="H69" s="29" t="s">
        <v>11</v>
      </c>
      <c r="I69" s="39" t="s">
        <v>117</v>
      </c>
      <c r="J69" s="29" t="s">
        <v>73</v>
      </c>
      <c r="K69" s="30">
        <f>SUMIF('组别目标-标箱组'!$L:$L,目标测算汇总!$I69,'组别目标-标箱组'!O:O)</f>
        <v>220000</v>
      </c>
      <c r="L69" s="81">
        <f t="shared" si="14"/>
        <v>84214</v>
      </c>
      <c r="M69" s="6">
        <f t="shared" si="15"/>
        <v>-0.61720909090909093</v>
      </c>
      <c r="N69" s="87"/>
      <c r="O69" s="87"/>
    </row>
    <row r="70" spans="2:15">
      <c r="B70" s="28" t="s">
        <v>9</v>
      </c>
      <c r="C70" s="29" t="s">
        <v>17</v>
      </c>
      <c r="D70" s="29" t="s">
        <v>52</v>
      </c>
      <c r="E70" s="29" t="s">
        <v>118</v>
      </c>
      <c r="F70" s="71">
        <v>284.14</v>
      </c>
      <c r="G70" s="79">
        <f t="shared" si="13"/>
        <v>9.5004045713215773E-2</v>
      </c>
      <c r="H70" s="29" t="s">
        <v>11</v>
      </c>
      <c r="I70" s="39" t="s">
        <v>119</v>
      </c>
      <c r="J70" s="29" t="s">
        <v>73</v>
      </c>
      <c r="K70" s="30">
        <f>SUMIF('组别目标-标箱组'!$L:$L,目标测算汇总!$I70,'组别目标-标箱组'!O:O)</f>
        <v>220000</v>
      </c>
      <c r="L70" s="81">
        <f t="shared" si="14"/>
        <v>33948</v>
      </c>
      <c r="M70" s="6">
        <f t="shared" si="15"/>
        <v>-0.84569090909090905</v>
      </c>
      <c r="N70" s="87"/>
      <c r="O70" s="87"/>
    </row>
    <row r="71" spans="2:15">
      <c r="B71" s="28" t="s">
        <v>9</v>
      </c>
      <c r="C71" s="29" t="s">
        <v>17</v>
      </c>
      <c r="D71" s="29" t="s">
        <v>54</v>
      </c>
      <c r="E71" s="29" t="s">
        <v>120</v>
      </c>
      <c r="F71" s="71">
        <v>416.66</v>
      </c>
      <c r="G71" s="79">
        <f t="shared" si="13"/>
        <v>8.2752073469128357E-2</v>
      </c>
      <c r="H71" s="29" t="s">
        <v>11</v>
      </c>
      <c r="I71" s="29" t="s">
        <v>121</v>
      </c>
      <c r="J71" s="29" t="s">
        <v>73</v>
      </c>
      <c r="K71" s="30">
        <f>SUMIF('组别目标-标箱组'!$L:$L,目标测算汇总!$I71,'组别目标-标箱组'!O:O)</f>
        <v>280000</v>
      </c>
      <c r="L71" s="81">
        <f t="shared" si="14"/>
        <v>49781</v>
      </c>
      <c r="M71" s="6">
        <f t="shared" si="15"/>
        <v>-0.82221071428571424</v>
      </c>
      <c r="N71" s="87"/>
      <c r="O71" s="87"/>
    </row>
    <row r="72" spans="2:15">
      <c r="B72" s="28" t="s">
        <v>9</v>
      </c>
      <c r="C72" s="29" t="s">
        <v>17</v>
      </c>
      <c r="D72" s="29" t="s">
        <v>54</v>
      </c>
      <c r="E72" s="29" t="s">
        <v>122</v>
      </c>
      <c r="F72" s="71">
        <v>382.65999999999997</v>
      </c>
      <c r="G72" s="79">
        <f t="shared" si="13"/>
        <v>7.5999396231211658E-2</v>
      </c>
      <c r="H72" s="29" t="s">
        <v>11</v>
      </c>
      <c r="I72" s="29" t="s">
        <v>123</v>
      </c>
      <c r="J72" s="29" t="s">
        <v>73</v>
      </c>
      <c r="K72" s="30">
        <f>SUMIF('组别目标-标箱组'!$L:$L,目标测算汇总!$I72,'组别目标-标箱组'!O:O)</f>
        <v>280000</v>
      </c>
      <c r="L72" s="81">
        <f t="shared" si="14"/>
        <v>45719</v>
      </c>
      <c r="M72" s="6">
        <f t="shared" si="15"/>
        <v>-0.83671785714285718</v>
      </c>
      <c r="N72" s="87"/>
      <c r="O72" s="87"/>
    </row>
    <row r="73" spans="2:15">
      <c r="B73" s="28" t="s">
        <v>9</v>
      </c>
      <c r="C73" s="29" t="s">
        <v>18</v>
      </c>
      <c r="D73" s="29" t="s">
        <v>63</v>
      </c>
      <c r="E73" s="29" t="s">
        <v>124</v>
      </c>
      <c r="F73" s="71">
        <v>224</v>
      </c>
      <c r="G73" s="79">
        <f t="shared" si="13"/>
        <v>4.7414130680964298E-2</v>
      </c>
      <c r="H73" s="29" t="s">
        <v>11</v>
      </c>
      <c r="I73" s="29" t="s">
        <v>125</v>
      </c>
      <c r="J73" s="29" t="s">
        <v>73</v>
      </c>
      <c r="K73" s="30">
        <f>SUMIF('组别目标-标箱组'!$L:$L,目标测算汇总!$I73,'组别目标-标箱组'!O:O)</f>
        <v>250000</v>
      </c>
      <c r="L73" s="81">
        <f t="shared" si="14"/>
        <v>25060</v>
      </c>
      <c r="M73" s="6">
        <f t="shared" si="15"/>
        <v>-0.89976</v>
      </c>
      <c r="N73" s="87"/>
      <c r="O73" s="87"/>
    </row>
    <row r="74" spans="2:15">
      <c r="B74" s="28" t="s">
        <v>9</v>
      </c>
      <c r="C74" s="29" t="s">
        <v>18</v>
      </c>
      <c r="D74" s="29" t="s">
        <v>61</v>
      </c>
      <c r="E74" s="29" t="s">
        <v>126</v>
      </c>
      <c r="F74" s="71">
        <v>227.10999999999999</v>
      </c>
      <c r="G74" s="79">
        <f t="shared" si="13"/>
        <v>2.893762439062926E-2</v>
      </c>
      <c r="H74" s="29" t="s">
        <v>11</v>
      </c>
      <c r="I74" s="29" t="s">
        <v>127</v>
      </c>
      <c r="J74" s="29" t="s">
        <v>73</v>
      </c>
      <c r="K74" s="30">
        <f>SUMIF('组别目标-标箱组'!$L:$L,目标测算汇总!$I74,'组别目标-标箱组'!O:O)</f>
        <v>530000</v>
      </c>
      <c r="L74" s="81">
        <f t="shared" si="14"/>
        <v>25408</v>
      </c>
      <c r="M74" s="6">
        <f t="shared" si="15"/>
        <v>-0.95206037735849058</v>
      </c>
      <c r="N74" s="87"/>
      <c r="O74" s="87"/>
    </row>
    <row r="75" spans="2:15">
      <c r="B75" s="28" t="s">
        <v>9</v>
      </c>
      <c r="C75" s="29" t="s">
        <v>18</v>
      </c>
      <c r="D75" s="29" t="s">
        <v>59</v>
      </c>
      <c r="E75" s="29" t="s">
        <v>128</v>
      </c>
      <c r="F75" s="71">
        <v>276.39999999999998</v>
      </c>
      <c r="G75" s="79">
        <f t="shared" si="13"/>
        <v>7.4133875479764716E-2</v>
      </c>
      <c r="H75" s="29" t="s">
        <v>11</v>
      </c>
      <c r="I75" s="29" t="s">
        <v>129</v>
      </c>
      <c r="J75" s="29" t="s">
        <v>73</v>
      </c>
      <c r="K75" s="30">
        <f>SUMIF('组别目标-标箱组'!$L:$L,目标测算汇总!$I75,'组别目标-标箱组'!O:O)</f>
        <v>390000</v>
      </c>
      <c r="L75" s="81">
        <f t="shared" si="14"/>
        <v>30922</v>
      </c>
      <c r="M75" s="6">
        <f t="shared" si="15"/>
        <v>-0.92071282051282055</v>
      </c>
      <c r="N75" s="87"/>
      <c r="O75" s="87"/>
    </row>
    <row r="76" spans="2:15" ht="24" customHeight="1">
      <c r="B76" s="7" t="s">
        <v>9</v>
      </c>
      <c r="C76" s="7" t="s">
        <v>19</v>
      </c>
      <c r="D76" s="7" t="s">
        <v>19</v>
      </c>
      <c r="E76" s="7" t="s">
        <v>19</v>
      </c>
      <c r="F76" s="75">
        <f>SUBTOTAL(9,F47:F75)</f>
        <v>12707.390000000001</v>
      </c>
      <c r="G76" s="71"/>
      <c r="H76" s="7"/>
      <c r="I76" s="7" t="s">
        <v>20</v>
      </c>
      <c r="J76" s="7" t="s">
        <v>21</v>
      </c>
      <c r="K76" s="8">
        <f>SUM(K50:K75)</f>
        <v>5550000</v>
      </c>
      <c r="L76" s="8">
        <f>SUM(L50:L75)</f>
        <v>1620020</v>
      </c>
      <c r="M76" s="9"/>
      <c r="N76" s="87"/>
      <c r="O76" s="87"/>
    </row>
    <row r="77" spans="2:15" ht="24" customHeight="1">
      <c r="I77" s="289"/>
      <c r="J77" s="289"/>
      <c r="K77" s="22"/>
      <c r="L77" s="22"/>
      <c r="M77" s="40"/>
      <c r="N77" s="87"/>
      <c r="O77" s="87"/>
    </row>
  </sheetData>
  <autoFilter ref="A46:AC77" xr:uid="{00000000-0001-0000-0200-000000000000}"/>
  <mergeCells count="3">
    <mergeCell ref="I44:J44"/>
    <mergeCell ref="I77:J77"/>
    <mergeCell ref="M10:N10"/>
  </mergeCells>
  <phoneticPr fontId="28" type="noConversion"/>
  <conditionalFormatting sqref="I47:I75">
    <cfRule type="duplicateValues" dxfId="3" priority="2" stopIfTrue="1"/>
  </conditionalFormatting>
  <conditionalFormatting sqref="M12:M42">
    <cfRule type="cellIs" dxfId="2" priority="1" operator="lessThan">
      <formula>-0.5</formula>
    </cfRule>
  </conditionalFormatting>
  <conditionalFormatting sqref="M13:M17 M20:M31 M33:M38">
    <cfRule type="cellIs" dxfId="1" priority="3" stopIfTrue="1" operator="greaterThan">
      <formula>0.5</formula>
    </cfRule>
  </conditionalFormatting>
  <conditionalFormatting sqref="M76">
    <cfRule type="cellIs" dxfId="0" priority="4" stopIfTrue="1" operator="greaterThan">
      <formula>0.5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K31"/>
  <sheetViews>
    <sheetView workbookViewId="0"/>
  </sheetViews>
  <sheetFormatPr baseColWidth="10" defaultColWidth="8.83203125" defaultRowHeight="16"/>
  <cols>
    <col min="10" max="10" width="14.5"/>
    <col min="11" max="11" width="13.6640625"/>
  </cols>
  <sheetData>
    <row r="2" spans="3:11" ht="54">
      <c r="C2" s="24" t="s">
        <v>0</v>
      </c>
      <c r="D2" s="25" t="s">
        <v>1</v>
      </c>
      <c r="E2" s="25" t="s">
        <v>2</v>
      </c>
      <c r="F2" s="25" t="s">
        <v>3</v>
      </c>
      <c r="G2" s="25" t="s">
        <v>4</v>
      </c>
      <c r="H2" s="25" t="s">
        <v>5</v>
      </c>
      <c r="I2" s="25" t="s">
        <v>6</v>
      </c>
      <c r="J2" s="41" t="s">
        <v>7</v>
      </c>
      <c r="K2" s="41" t="s">
        <v>8</v>
      </c>
    </row>
    <row r="3" spans="3:11" ht="17">
      <c r="C3" s="28" t="s">
        <v>9</v>
      </c>
      <c r="D3" s="29" t="s">
        <v>16</v>
      </c>
      <c r="E3" s="29" t="s">
        <v>46</v>
      </c>
      <c r="F3" s="29" t="s">
        <v>76</v>
      </c>
      <c r="G3" s="29" t="s">
        <v>11</v>
      </c>
      <c r="H3" s="31" t="s">
        <v>77</v>
      </c>
      <c r="I3" s="29" t="s">
        <v>73</v>
      </c>
      <c r="J3" s="30">
        <v>40000</v>
      </c>
      <c r="K3" s="42">
        <v>112500</v>
      </c>
    </row>
    <row r="4" spans="3:11" ht="17">
      <c r="C4" s="28" t="s">
        <v>9</v>
      </c>
      <c r="D4" s="29" t="s">
        <v>16</v>
      </c>
      <c r="E4" s="29" t="s">
        <v>46</v>
      </c>
      <c r="F4" s="29" t="s">
        <v>78</v>
      </c>
      <c r="G4" s="29" t="s">
        <v>11</v>
      </c>
      <c r="H4" s="31" t="s">
        <v>79</v>
      </c>
      <c r="I4" s="29" t="s">
        <v>73</v>
      </c>
      <c r="J4" s="30">
        <v>60000</v>
      </c>
      <c r="K4" s="42">
        <v>132500</v>
      </c>
    </row>
    <row r="5" spans="3:11" ht="17">
      <c r="C5" s="28" t="s">
        <v>9</v>
      </c>
      <c r="D5" s="29" t="s">
        <v>16</v>
      </c>
      <c r="E5" s="29" t="s">
        <v>46</v>
      </c>
      <c r="F5" s="29" t="s">
        <v>80</v>
      </c>
      <c r="G5" s="29" t="s">
        <v>11</v>
      </c>
      <c r="H5" s="31" t="s">
        <v>81</v>
      </c>
      <c r="I5" s="29" t="s">
        <v>73</v>
      </c>
      <c r="J5" s="30">
        <v>70000</v>
      </c>
      <c r="K5" s="42">
        <v>142500</v>
      </c>
    </row>
    <row r="6" spans="3:11" ht="17">
      <c r="C6" s="28" t="s">
        <v>9</v>
      </c>
      <c r="D6" s="29" t="s">
        <v>16</v>
      </c>
      <c r="E6" s="29" t="s">
        <v>46</v>
      </c>
      <c r="F6" s="29" t="s">
        <v>82</v>
      </c>
      <c r="G6" s="29" t="s">
        <v>11</v>
      </c>
      <c r="H6" s="31" t="s">
        <v>83</v>
      </c>
      <c r="I6" s="29" t="s">
        <v>73</v>
      </c>
      <c r="J6" s="30">
        <v>55000</v>
      </c>
      <c r="K6" s="42">
        <v>127500</v>
      </c>
    </row>
    <row r="7" spans="3:11" ht="17">
      <c r="C7" s="28" t="s">
        <v>9</v>
      </c>
      <c r="D7" s="29" t="s">
        <v>16</v>
      </c>
      <c r="E7" s="29" t="s">
        <v>46</v>
      </c>
      <c r="F7" s="29" t="s">
        <v>84</v>
      </c>
      <c r="G7" s="29" t="s">
        <v>11</v>
      </c>
      <c r="H7" s="31" t="s">
        <v>85</v>
      </c>
      <c r="I7" s="29" t="s">
        <v>73</v>
      </c>
      <c r="J7" s="30">
        <v>60000</v>
      </c>
      <c r="K7" s="42">
        <v>132500</v>
      </c>
    </row>
    <row r="8" spans="3:11" ht="17">
      <c r="C8" s="28" t="s">
        <v>9</v>
      </c>
      <c r="D8" s="29" t="s">
        <v>16</v>
      </c>
      <c r="E8" s="29" t="s">
        <v>46</v>
      </c>
      <c r="F8" s="29" t="s">
        <v>86</v>
      </c>
      <c r="G8" s="29" t="s">
        <v>11</v>
      </c>
      <c r="H8" s="31" t="s">
        <v>87</v>
      </c>
      <c r="I8" s="29" t="s">
        <v>73</v>
      </c>
      <c r="J8" s="30">
        <v>30000</v>
      </c>
      <c r="K8" s="42">
        <v>102500</v>
      </c>
    </row>
    <row r="9" spans="3:11" ht="17">
      <c r="C9" s="28" t="s">
        <v>9</v>
      </c>
      <c r="D9" s="29" t="s">
        <v>16</v>
      </c>
      <c r="E9" s="29" t="s">
        <v>49</v>
      </c>
      <c r="F9" s="29" t="s">
        <v>88</v>
      </c>
      <c r="G9" s="29" t="s">
        <v>11</v>
      </c>
      <c r="H9" s="29" t="s">
        <v>89</v>
      </c>
      <c r="I9" s="29" t="s">
        <v>73</v>
      </c>
      <c r="J9" s="30">
        <v>150000</v>
      </c>
      <c r="K9" s="42">
        <v>650000</v>
      </c>
    </row>
    <row r="10" spans="3:11" ht="17">
      <c r="C10" s="28" t="s">
        <v>9</v>
      </c>
      <c r="D10" s="29" t="s">
        <v>15</v>
      </c>
      <c r="E10" s="29" t="s">
        <v>44</v>
      </c>
      <c r="F10" s="29" t="s">
        <v>90</v>
      </c>
      <c r="G10" s="29" t="s">
        <v>11</v>
      </c>
      <c r="H10" s="38" t="s">
        <v>91</v>
      </c>
      <c r="I10" s="29" t="s">
        <v>73</v>
      </c>
      <c r="J10" s="43">
        <v>90000</v>
      </c>
      <c r="K10" s="42">
        <v>308889</v>
      </c>
    </row>
    <row r="11" spans="3:11" ht="17">
      <c r="C11" s="28" t="s">
        <v>9</v>
      </c>
      <c r="D11" s="29" t="s">
        <v>15</v>
      </c>
      <c r="E11" s="29" t="s">
        <v>44</v>
      </c>
      <c r="F11" s="29" t="s">
        <v>92</v>
      </c>
      <c r="G11" s="29" t="s">
        <v>11</v>
      </c>
      <c r="H11" s="38" t="s">
        <v>93</v>
      </c>
      <c r="I11" s="29" t="s">
        <v>73</v>
      </c>
      <c r="J11" s="43">
        <v>150000</v>
      </c>
      <c r="K11" s="42">
        <v>308889</v>
      </c>
    </row>
    <row r="12" spans="3:11" ht="17">
      <c r="C12" s="28" t="s">
        <v>9</v>
      </c>
      <c r="D12" s="29" t="s">
        <v>15</v>
      </c>
      <c r="E12" s="29" t="s">
        <v>44</v>
      </c>
      <c r="F12" s="29" t="s">
        <v>94</v>
      </c>
      <c r="G12" s="29" t="s">
        <v>11</v>
      </c>
      <c r="H12" s="38" t="s">
        <v>95</v>
      </c>
      <c r="I12" s="29" t="s">
        <v>73</v>
      </c>
      <c r="J12" s="43">
        <v>120000</v>
      </c>
      <c r="K12" s="42">
        <v>308889</v>
      </c>
    </row>
    <row r="13" spans="3:11" ht="17">
      <c r="C13" s="28" t="s">
        <v>9</v>
      </c>
      <c r="D13" s="29" t="s">
        <v>15</v>
      </c>
      <c r="E13" s="29" t="s">
        <v>44</v>
      </c>
      <c r="F13" s="29" t="s">
        <v>96</v>
      </c>
      <c r="G13" s="29" t="s">
        <v>11</v>
      </c>
      <c r="H13" s="38" t="s">
        <v>97</v>
      </c>
      <c r="I13" s="29" t="s">
        <v>73</v>
      </c>
      <c r="J13" s="43">
        <v>90000</v>
      </c>
      <c r="K13" s="42">
        <v>308889</v>
      </c>
    </row>
    <row r="14" spans="3:11" ht="17">
      <c r="C14" s="28" t="s">
        <v>9</v>
      </c>
      <c r="D14" s="29" t="s">
        <v>15</v>
      </c>
      <c r="E14" s="29" t="s">
        <v>44</v>
      </c>
      <c r="F14" s="29" t="s">
        <v>98</v>
      </c>
      <c r="G14" s="29" t="s">
        <v>11</v>
      </c>
      <c r="H14" s="38" t="s">
        <v>99</v>
      </c>
      <c r="I14" s="29" t="s">
        <v>73</v>
      </c>
      <c r="J14" s="43">
        <v>180000</v>
      </c>
      <c r="K14" s="42">
        <v>308889</v>
      </c>
    </row>
    <row r="15" spans="3:11" ht="17">
      <c r="C15" s="28" t="s">
        <v>9</v>
      </c>
      <c r="D15" s="29" t="s">
        <v>15</v>
      </c>
      <c r="E15" s="29" t="s">
        <v>44</v>
      </c>
      <c r="F15" s="29" t="s">
        <v>100</v>
      </c>
      <c r="G15" s="29" t="s">
        <v>11</v>
      </c>
      <c r="H15" s="38" t="s">
        <v>101</v>
      </c>
      <c r="I15" s="29" t="s">
        <v>73</v>
      </c>
      <c r="J15" s="43">
        <v>170000</v>
      </c>
      <c r="K15" s="42">
        <v>308889</v>
      </c>
    </row>
    <row r="16" spans="3:11" ht="17">
      <c r="C16" s="28" t="s">
        <v>9</v>
      </c>
      <c r="D16" s="29" t="s">
        <v>15</v>
      </c>
      <c r="E16" s="29" t="s">
        <v>44</v>
      </c>
      <c r="F16" s="29" t="s">
        <v>102</v>
      </c>
      <c r="G16" s="29" t="s">
        <v>11</v>
      </c>
      <c r="H16" s="38" t="s">
        <v>103</v>
      </c>
      <c r="I16" s="29" t="s">
        <v>73</v>
      </c>
      <c r="J16" s="43">
        <v>240000</v>
      </c>
      <c r="K16" s="42">
        <v>308889</v>
      </c>
    </row>
    <row r="17" spans="3:11" ht="17">
      <c r="C17" s="28" t="s">
        <v>9</v>
      </c>
      <c r="D17" s="29" t="s">
        <v>15</v>
      </c>
      <c r="E17" s="29" t="s">
        <v>44</v>
      </c>
      <c r="F17" s="29" t="s">
        <v>104</v>
      </c>
      <c r="G17" s="29" t="s">
        <v>11</v>
      </c>
      <c r="H17" s="38" t="s">
        <v>105</v>
      </c>
      <c r="I17" s="29" t="s">
        <v>73</v>
      </c>
      <c r="J17" s="43">
        <v>120000</v>
      </c>
      <c r="K17" s="42">
        <v>308889</v>
      </c>
    </row>
    <row r="18" spans="3:11" ht="17">
      <c r="C18" s="28" t="s">
        <v>9</v>
      </c>
      <c r="D18" s="29" t="s">
        <v>15</v>
      </c>
      <c r="E18" s="29" t="s">
        <v>44</v>
      </c>
      <c r="F18" s="29" t="s">
        <v>106</v>
      </c>
      <c r="G18" s="29" t="s">
        <v>11</v>
      </c>
      <c r="H18" s="38" t="s">
        <v>107</v>
      </c>
      <c r="I18" s="29" t="s">
        <v>73</v>
      </c>
      <c r="J18" s="43">
        <v>130000</v>
      </c>
      <c r="K18" s="42">
        <v>308889</v>
      </c>
    </row>
    <row r="19" spans="3:11" ht="17">
      <c r="C19" s="28" t="s">
        <v>9</v>
      </c>
      <c r="D19" s="29" t="s">
        <v>15</v>
      </c>
      <c r="E19" s="29" t="s">
        <v>41</v>
      </c>
      <c r="F19" s="29" t="s">
        <v>108</v>
      </c>
      <c r="G19" s="29" t="s">
        <v>11</v>
      </c>
      <c r="H19" s="29" t="s">
        <v>109</v>
      </c>
      <c r="I19" s="29" t="s">
        <v>73</v>
      </c>
      <c r="J19" s="30">
        <v>157500</v>
      </c>
      <c r="K19" s="42">
        <v>210000</v>
      </c>
    </row>
    <row r="20" spans="3:11" ht="17">
      <c r="C20" s="28" t="s">
        <v>9</v>
      </c>
      <c r="D20" s="29" t="s">
        <v>15</v>
      </c>
      <c r="E20" s="29" t="s">
        <v>41</v>
      </c>
      <c r="F20" s="29" t="s">
        <v>110</v>
      </c>
      <c r="G20" s="29" t="s">
        <v>11</v>
      </c>
      <c r="H20" s="29" t="s">
        <v>111</v>
      </c>
      <c r="I20" s="29" t="s">
        <v>73</v>
      </c>
      <c r="J20" s="30">
        <v>142500</v>
      </c>
      <c r="K20" s="42">
        <v>240000</v>
      </c>
    </row>
    <row r="21" spans="3:11" ht="17">
      <c r="C21" s="28" t="s">
        <v>9</v>
      </c>
      <c r="D21" s="29" t="s">
        <v>15</v>
      </c>
      <c r="E21" s="29" t="s">
        <v>41</v>
      </c>
      <c r="F21" s="29" t="s">
        <v>112</v>
      </c>
      <c r="G21" s="29" t="s">
        <v>11</v>
      </c>
      <c r="H21" s="29" t="s">
        <v>113</v>
      </c>
      <c r="I21" s="29" t="s">
        <v>73</v>
      </c>
      <c r="J21" s="30">
        <v>187500</v>
      </c>
      <c r="K21" s="42">
        <v>240000</v>
      </c>
    </row>
    <row r="22" spans="3:11" ht="17">
      <c r="C22" s="28" t="s">
        <v>9</v>
      </c>
      <c r="D22" s="29" t="s">
        <v>15</v>
      </c>
      <c r="E22" s="29" t="s">
        <v>41</v>
      </c>
      <c r="F22" s="29" t="s">
        <v>114</v>
      </c>
      <c r="G22" s="29" t="s">
        <v>11</v>
      </c>
      <c r="H22" s="29" t="s">
        <v>115</v>
      </c>
      <c r="I22" s="29" t="s">
        <v>73</v>
      </c>
      <c r="J22" s="30">
        <v>157500</v>
      </c>
      <c r="K22" s="42">
        <v>240000</v>
      </c>
    </row>
    <row r="23" spans="3:11" ht="17">
      <c r="C23" s="28" t="s">
        <v>9</v>
      </c>
      <c r="D23" s="29" t="s">
        <v>17</v>
      </c>
      <c r="E23" s="29" t="s">
        <v>52</v>
      </c>
      <c r="F23" s="29" t="s">
        <v>116</v>
      </c>
      <c r="G23" s="29" t="s">
        <v>11</v>
      </c>
      <c r="H23" s="39" t="s">
        <v>117</v>
      </c>
      <c r="I23" s="29" t="s">
        <v>73</v>
      </c>
      <c r="J23" s="30">
        <v>160000</v>
      </c>
      <c r="K23" s="42">
        <v>318333.5</v>
      </c>
    </row>
    <row r="24" spans="3:11" ht="17">
      <c r="C24" s="28" t="s">
        <v>9</v>
      </c>
      <c r="D24" s="29" t="s">
        <v>17</v>
      </c>
      <c r="E24" s="29" t="s">
        <v>52</v>
      </c>
      <c r="F24" s="29" t="s">
        <v>118</v>
      </c>
      <c r="G24" s="29" t="s">
        <v>11</v>
      </c>
      <c r="H24" s="39" t="s">
        <v>119</v>
      </c>
      <c r="I24" s="29" t="s">
        <v>73</v>
      </c>
      <c r="J24" s="30">
        <v>160000</v>
      </c>
      <c r="K24" s="42">
        <v>318333.5</v>
      </c>
    </row>
    <row r="25" spans="3:11" ht="17">
      <c r="C25" s="28" t="s">
        <v>9</v>
      </c>
      <c r="D25" s="29" t="s">
        <v>17</v>
      </c>
      <c r="E25" s="29" t="s">
        <v>54</v>
      </c>
      <c r="F25" s="29" t="s">
        <v>120</v>
      </c>
      <c r="G25" s="29" t="s">
        <v>11</v>
      </c>
      <c r="H25" s="29" t="s">
        <v>121</v>
      </c>
      <c r="I25" s="29" t="s">
        <v>73</v>
      </c>
      <c r="J25" s="30">
        <v>140000</v>
      </c>
      <c r="K25" s="42">
        <v>418333.5</v>
      </c>
    </row>
    <row r="26" spans="3:11" ht="17">
      <c r="C26" s="28" t="s">
        <v>9</v>
      </c>
      <c r="D26" s="29" t="s">
        <v>17</v>
      </c>
      <c r="E26" s="29" t="s">
        <v>54</v>
      </c>
      <c r="F26" s="29" t="s">
        <v>122</v>
      </c>
      <c r="G26" s="29" t="s">
        <v>11</v>
      </c>
      <c r="H26" s="29" t="s">
        <v>123</v>
      </c>
      <c r="I26" s="29" t="s">
        <v>73</v>
      </c>
      <c r="J26" s="30">
        <v>140000</v>
      </c>
      <c r="K26" s="42">
        <v>418333.5</v>
      </c>
    </row>
    <row r="27" spans="3:11" ht="17">
      <c r="C27" s="28" t="s">
        <v>9</v>
      </c>
      <c r="D27" s="29" t="s">
        <v>10</v>
      </c>
      <c r="E27" s="29" t="s">
        <v>30</v>
      </c>
      <c r="F27" s="29" t="s">
        <v>71</v>
      </c>
      <c r="G27" s="29" t="s">
        <v>11</v>
      </c>
      <c r="H27" s="29" t="s">
        <v>72</v>
      </c>
      <c r="I27" s="29" t="s">
        <v>73</v>
      </c>
      <c r="J27" s="30">
        <v>45000</v>
      </c>
      <c r="K27" s="42">
        <v>2310000</v>
      </c>
    </row>
    <row r="28" spans="3:11" ht="17">
      <c r="C28" s="28" t="s">
        <v>9</v>
      </c>
      <c r="D28" s="29" t="s">
        <v>10</v>
      </c>
      <c r="E28" s="29" t="s">
        <v>35</v>
      </c>
      <c r="F28" s="29" t="s">
        <v>74</v>
      </c>
      <c r="G28" s="29" t="s">
        <v>11</v>
      </c>
      <c r="H28" s="29" t="s">
        <v>75</v>
      </c>
      <c r="I28" s="29" t="s">
        <v>73</v>
      </c>
      <c r="J28" s="30">
        <v>160000</v>
      </c>
      <c r="K28" s="42">
        <v>2610000</v>
      </c>
    </row>
    <row r="29" spans="3:11" ht="17">
      <c r="C29" s="28" t="s">
        <v>9</v>
      </c>
      <c r="D29" s="29" t="s">
        <v>18</v>
      </c>
      <c r="E29" s="29" t="s">
        <v>63</v>
      </c>
      <c r="F29" s="29" t="s">
        <v>124</v>
      </c>
      <c r="G29" s="29" t="s">
        <v>11</v>
      </c>
      <c r="H29" s="29" t="s">
        <v>125</v>
      </c>
      <c r="I29" s="29" t="s">
        <v>73</v>
      </c>
      <c r="J29" s="30">
        <v>30000</v>
      </c>
      <c r="K29" s="42">
        <v>0</v>
      </c>
    </row>
    <row r="30" spans="3:11" ht="17">
      <c r="C30" s="28" t="s">
        <v>9</v>
      </c>
      <c r="D30" s="29" t="s">
        <v>18</v>
      </c>
      <c r="E30" s="29" t="s">
        <v>61</v>
      </c>
      <c r="F30" s="29" t="s">
        <v>126</v>
      </c>
      <c r="G30" s="29" t="s">
        <v>11</v>
      </c>
      <c r="H30" s="29" t="s">
        <v>127</v>
      </c>
      <c r="I30" s="29" t="s">
        <v>73</v>
      </c>
      <c r="J30" s="30">
        <v>30000</v>
      </c>
      <c r="K30" s="42">
        <v>1700000</v>
      </c>
    </row>
    <row r="31" spans="3:11" ht="17">
      <c r="C31" s="28" t="s">
        <v>9</v>
      </c>
      <c r="D31" s="29" t="s">
        <v>18</v>
      </c>
      <c r="E31" s="29" t="s">
        <v>59</v>
      </c>
      <c r="F31" s="29" t="s">
        <v>128</v>
      </c>
      <c r="G31" s="29" t="s">
        <v>11</v>
      </c>
      <c r="H31" s="29" t="s">
        <v>129</v>
      </c>
      <c r="I31" s="29" t="s">
        <v>73</v>
      </c>
      <c r="J31" s="30">
        <v>75000</v>
      </c>
      <c r="K31" s="42">
        <v>1700000</v>
      </c>
    </row>
  </sheetData>
  <phoneticPr fontId="28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456"/>
  <sheetViews>
    <sheetView showGridLines="0" zoomScale="75" zoomScaleNormal="75" workbookViewId="0">
      <pane xSplit="11" ySplit="9" topLeftCell="L11" activePane="bottomRight" state="frozen"/>
      <selection pane="topRight"/>
      <selection pane="bottomLeft"/>
      <selection pane="bottomRight" activeCell="A3" sqref="A3:XFD3"/>
    </sheetView>
  </sheetViews>
  <sheetFormatPr baseColWidth="10" defaultColWidth="8.83203125" defaultRowHeight="17" outlineLevelCol="1"/>
  <cols>
    <col min="1" max="1" width="0" style="69" hidden="1" customWidth="1" outlineLevel="1"/>
    <col min="2" max="2" width="13" style="69" hidden="1" customWidth="1" outlineLevel="1"/>
    <col min="3" max="3" width="5.6640625" style="69" bestFit="1" collapsed="1"/>
    <col min="4" max="4" width="14" style="69" bestFit="1"/>
    <col min="5" max="5" width="9.5" style="69"/>
    <col min="6" max="6" width="18.5" style="69"/>
    <col min="7" max="8" width="13.6640625" style="69"/>
    <col min="9" max="10" width="16.33203125" style="69" customWidth="1"/>
    <col min="11" max="11" width="17.83203125" style="70"/>
    <col min="12" max="12" width="19" style="70"/>
    <col min="13" max="14" width="17.33203125" style="70"/>
    <col min="15" max="15" width="21.83203125" style="69"/>
    <col min="16" max="16" width="17.6640625" style="69" customWidth="1"/>
    <col min="17" max="17" width="13.5" style="69" hidden="1" customWidth="1" outlineLevel="1"/>
    <col min="18" max="18" width="22.5" style="70" collapsed="1"/>
    <col min="19" max="29" width="10.83203125" style="69"/>
  </cols>
  <sheetData>
    <row r="1" spans="1:18" ht="12" customHeight="1"/>
    <row r="2" spans="1:18" ht="29" customHeight="1"/>
    <row r="3" spans="1:18" s="68" customFormat="1" ht="52" customHeight="1">
      <c r="C3" s="1" t="s">
        <v>620</v>
      </c>
      <c r="D3" s="1" t="s">
        <v>0</v>
      </c>
      <c r="E3" s="1" t="s">
        <v>1</v>
      </c>
      <c r="F3" s="1" t="s">
        <v>2</v>
      </c>
      <c r="G3" s="1" t="s">
        <v>621</v>
      </c>
      <c r="H3" s="1" t="s">
        <v>3</v>
      </c>
      <c r="I3" s="1" t="s">
        <v>638</v>
      </c>
      <c r="J3" s="1" t="s">
        <v>632</v>
      </c>
      <c r="K3" s="2" t="s">
        <v>4</v>
      </c>
      <c r="L3" s="2" t="s">
        <v>5</v>
      </c>
      <c r="M3" s="55" t="s">
        <v>622</v>
      </c>
      <c r="N3" s="2" t="s">
        <v>6</v>
      </c>
      <c r="O3" s="56" t="s">
        <v>7</v>
      </c>
      <c r="P3" s="82" t="s">
        <v>631</v>
      </c>
      <c r="Q3" s="56" t="s">
        <v>8</v>
      </c>
      <c r="R3" s="57"/>
    </row>
    <row r="4" spans="1:18" ht="17" customHeight="1">
      <c r="A4" s="58" t="str">
        <f>E4&amp;F4&amp;H4</f>
        <v>华东区</v>
      </c>
      <c r="B4" s="58" t="str">
        <f t="shared" ref="B4:B9" si="0">D4&amp;E4</f>
        <v>标箱组华东区</v>
      </c>
      <c r="C4" s="4">
        <f t="shared" ref="C4:C9" si="1">MATCH(E4,_xlfn.UNIQUE(E$4:E$9),0)</f>
        <v>1</v>
      </c>
      <c r="D4" s="4" t="s">
        <v>9</v>
      </c>
      <c r="E4" s="4" t="s">
        <v>639</v>
      </c>
      <c r="F4" s="4"/>
      <c r="G4" s="4"/>
      <c r="H4" s="4"/>
      <c r="I4" s="81">
        <v>38504.39</v>
      </c>
      <c r="J4" s="76">
        <f t="shared" ref="J4:J9" si="2">I4/SUMIF($D$41:$D$456,$D4,$I$41:$I$456)</f>
        <v>0.27148033617137773</v>
      </c>
      <c r="K4" s="4" t="s">
        <v>11</v>
      </c>
      <c r="L4" s="4"/>
      <c r="M4" s="4"/>
      <c r="N4" s="4" t="s">
        <v>13</v>
      </c>
      <c r="O4" s="8">
        <v>4920000</v>
      </c>
      <c r="P4" s="8">
        <f>O4</f>
        <v>4920000</v>
      </c>
      <c r="Q4" s="8">
        <v>4920000</v>
      </c>
      <c r="R4" s="59"/>
    </row>
    <row r="5" spans="1:18">
      <c r="A5" s="58" t="str">
        <f t="shared" ref="A5:A67" si="3">E5&amp;F5&amp;H5</f>
        <v>华南区</v>
      </c>
      <c r="B5" s="58" t="str">
        <f t="shared" si="0"/>
        <v>标箱组华南区</v>
      </c>
      <c r="C5" s="4">
        <f t="shared" si="1"/>
        <v>2</v>
      </c>
      <c r="D5" s="4" t="s">
        <v>9</v>
      </c>
      <c r="E5" s="4" t="s">
        <v>14</v>
      </c>
      <c r="F5" s="4"/>
      <c r="G5" s="4"/>
      <c r="H5" s="4"/>
      <c r="I5" s="81">
        <v>23062.47</v>
      </c>
      <c r="J5" s="76">
        <f t="shared" si="2"/>
        <v>0.1626050200650449</v>
      </c>
      <c r="K5" s="4" t="s">
        <v>11</v>
      </c>
      <c r="L5" s="4"/>
      <c r="M5" s="4"/>
      <c r="N5" s="4" t="s">
        <v>13</v>
      </c>
      <c r="O5" s="8">
        <v>1520000</v>
      </c>
      <c r="P5" s="8">
        <f t="shared" ref="P5:P9" si="4">O5</f>
        <v>1520000</v>
      </c>
      <c r="Q5" s="8">
        <v>1520000</v>
      </c>
      <c r="R5" s="59"/>
    </row>
    <row r="6" spans="1:18">
      <c r="A6" s="58" t="str">
        <f t="shared" si="3"/>
        <v>华中区</v>
      </c>
      <c r="B6" s="58" t="str">
        <f t="shared" si="0"/>
        <v>标箱组华中区</v>
      </c>
      <c r="C6" s="4">
        <f t="shared" si="1"/>
        <v>3</v>
      </c>
      <c r="D6" s="4" t="s">
        <v>9</v>
      </c>
      <c r="E6" s="4" t="s">
        <v>15</v>
      </c>
      <c r="F6" s="4"/>
      <c r="G6" s="4"/>
      <c r="H6" s="4"/>
      <c r="I6" s="81">
        <v>22550.31</v>
      </c>
      <c r="J6" s="76">
        <f t="shared" si="2"/>
        <v>0.15899396768962659</v>
      </c>
      <c r="K6" s="4" t="s">
        <v>11</v>
      </c>
      <c r="L6" s="4"/>
      <c r="M6" s="4"/>
      <c r="N6" s="4" t="s">
        <v>13</v>
      </c>
      <c r="O6" s="8">
        <v>3710000</v>
      </c>
      <c r="P6" s="8">
        <f t="shared" si="4"/>
        <v>3710000</v>
      </c>
      <c r="Q6" s="8">
        <v>3710000</v>
      </c>
      <c r="R6" s="59"/>
    </row>
    <row r="7" spans="1:18">
      <c r="A7" s="58" t="str">
        <f t="shared" si="3"/>
        <v>东北区</v>
      </c>
      <c r="B7" s="58" t="str">
        <f t="shared" si="0"/>
        <v>标箱组东北区</v>
      </c>
      <c r="C7" s="4">
        <f t="shared" si="1"/>
        <v>4</v>
      </c>
      <c r="D7" s="4" t="s">
        <v>9</v>
      </c>
      <c r="E7" s="4" t="s">
        <v>16</v>
      </c>
      <c r="F7" s="4"/>
      <c r="G7" s="4"/>
      <c r="H7" s="4"/>
      <c r="I7" s="81">
        <v>10918.08</v>
      </c>
      <c r="J7" s="76">
        <f t="shared" si="2"/>
        <v>7.6979378942141297E-2</v>
      </c>
      <c r="K7" s="4" t="s">
        <v>11</v>
      </c>
      <c r="L7" s="4"/>
      <c r="M7" s="4"/>
      <c r="N7" s="4" t="s">
        <v>13</v>
      </c>
      <c r="O7" s="8">
        <v>1400000</v>
      </c>
      <c r="P7" s="8">
        <f t="shared" si="4"/>
        <v>1400000</v>
      </c>
      <c r="Q7" s="8">
        <v>1400000</v>
      </c>
      <c r="R7" s="59"/>
    </row>
    <row r="8" spans="1:18">
      <c r="A8" s="58" t="str">
        <f t="shared" si="3"/>
        <v>华北区</v>
      </c>
      <c r="B8" s="58" t="str">
        <f t="shared" si="0"/>
        <v>标箱组华北区</v>
      </c>
      <c r="C8" s="4">
        <f t="shared" si="1"/>
        <v>5</v>
      </c>
      <c r="D8" s="4" t="s">
        <v>9</v>
      </c>
      <c r="E8" s="4" t="s">
        <v>17</v>
      </c>
      <c r="F8" s="4"/>
      <c r="G8" s="4"/>
      <c r="H8" s="4"/>
      <c r="I8" s="81">
        <v>16404.77</v>
      </c>
      <c r="J8" s="76">
        <f t="shared" si="2"/>
        <v>0.11566401842527911</v>
      </c>
      <c r="K8" s="4" t="s">
        <v>11</v>
      </c>
      <c r="L8" s="4"/>
      <c r="M8" s="4"/>
      <c r="N8" s="4" t="s">
        <v>13</v>
      </c>
      <c r="O8" s="8">
        <v>1960000</v>
      </c>
      <c r="P8" s="8">
        <f t="shared" si="4"/>
        <v>1960000</v>
      </c>
      <c r="Q8" s="8">
        <v>1960000</v>
      </c>
      <c r="R8" s="59"/>
    </row>
    <row r="9" spans="1:18">
      <c r="A9" s="58" t="str">
        <f t="shared" si="3"/>
        <v>西南区</v>
      </c>
      <c r="B9" s="58" t="str">
        <f t="shared" si="0"/>
        <v>标箱组西南区</v>
      </c>
      <c r="C9" s="4">
        <f t="shared" si="1"/>
        <v>6</v>
      </c>
      <c r="D9" s="4" t="s">
        <v>9</v>
      </c>
      <c r="E9" s="4" t="s">
        <v>18</v>
      </c>
      <c r="F9" s="4"/>
      <c r="G9" s="4"/>
      <c r="H9" s="4"/>
      <c r="I9" s="81">
        <v>30391.21</v>
      </c>
      <c r="J9" s="76">
        <f t="shared" si="2"/>
        <v>0.21427727870653027</v>
      </c>
      <c r="K9" s="4" t="s">
        <v>11</v>
      </c>
      <c r="L9" s="4"/>
      <c r="M9" s="4"/>
      <c r="N9" s="4" t="s">
        <v>13</v>
      </c>
      <c r="O9" s="8">
        <v>3400000</v>
      </c>
      <c r="P9" s="8">
        <f t="shared" si="4"/>
        <v>3400000</v>
      </c>
      <c r="Q9" s="8">
        <v>3400000</v>
      </c>
      <c r="R9" s="59"/>
    </row>
    <row r="10" spans="1:18">
      <c r="A10" s="58" t="str">
        <f t="shared" si="3"/>
        <v>华东区上海市</v>
      </c>
      <c r="B10" s="58" t="str">
        <f t="shared" ref="B10:B73" si="5">IF(N10="省区总监",D10&amp;F10,D10&amp;H10)</f>
        <v>标箱组上海市</v>
      </c>
      <c r="C10" s="4">
        <f t="shared" ref="C10:C40" si="6">MATCH(B10,_xlfn.UNIQUE(B$10:B$40),0)</f>
        <v>1</v>
      </c>
      <c r="D10" s="4" t="s">
        <v>9</v>
      </c>
      <c r="E10" s="12" t="s">
        <v>10</v>
      </c>
      <c r="F10" s="12" t="s">
        <v>27</v>
      </c>
      <c r="G10" s="12"/>
      <c r="H10" s="12"/>
      <c r="I10" s="81">
        <v>2475.9</v>
      </c>
      <c r="J10" s="76">
        <f t="shared" ref="J10:J40" si="7">I10/SUMIF($E$41:$E$456,$E10,$I$41:$I$456)</f>
        <v>6.4301758838407774E-2</v>
      </c>
      <c r="K10" s="4" t="s">
        <v>28</v>
      </c>
      <c r="L10" s="4" t="s">
        <v>12</v>
      </c>
      <c r="M10" s="4"/>
      <c r="N10" s="4" t="s">
        <v>29</v>
      </c>
      <c r="O10" s="7"/>
      <c r="P10" s="84">
        <f t="shared" ref="P10:P40" si="8">ROUND(J10*VLOOKUP(E10,E:P,12,0),0)</f>
        <v>316365</v>
      </c>
      <c r="Q10" s="7">
        <v>0</v>
      </c>
      <c r="R10" s="59"/>
    </row>
    <row r="11" spans="1:18">
      <c r="A11" s="58" t="str">
        <f t="shared" si="3"/>
        <v>华东区安徽省</v>
      </c>
      <c r="B11" s="58" t="str">
        <f t="shared" si="5"/>
        <v>标箱组安徽省</v>
      </c>
      <c r="C11" s="4">
        <f t="shared" si="6"/>
        <v>2</v>
      </c>
      <c r="D11" s="4" t="s">
        <v>9</v>
      </c>
      <c r="E11" s="4" t="s">
        <v>10</v>
      </c>
      <c r="F11" s="4" t="s">
        <v>30</v>
      </c>
      <c r="G11" s="4"/>
      <c r="H11" s="4"/>
      <c r="I11" s="81">
        <v>6146.54</v>
      </c>
      <c r="J11" s="76">
        <f t="shared" si="7"/>
        <v>0.159632187394736</v>
      </c>
      <c r="K11" s="4" t="s">
        <v>11</v>
      </c>
      <c r="L11" s="4" t="s">
        <v>31</v>
      </c>
      <c r="M11" s="4" t="s">
        <v>28</v>
      </c>
      <c r="N11" s="4" t="s">
        <v>29</v>
      </c>
      <c r="O11" s="8">
        <v>700000</v>
      </c>
      <c r="P11" s="84">
        <f t="shared" si="8"/>
        <v>785390</v>
      </c>
      <c r="Q11" s="7">
        <v>2310000</v>
      </c>
      <c r="R11" s="59"/>
    </row>
    <row r="12" spans="1:18">
      <c r="A12" s="58" t="str">
        <f t="shared" si="3"/>
        <v>华东区江苏省</v>
      </c>
      <c r="B12" s="58" t="str">
        <f t="shared" si="5"/>
        <v>标箱组江苏省</v>
      </c>
      <c r="C12" s="4">
        <f t="shared" si="6"/>
        <v>3</v>
      </c>
      <c r="D12" s="4" t="s">
        <v>9</v>
      </c>
      <c r="E12" s="4" t="s">
        <v>10</v>
      </c>
      <c r="F12" s="4" t="s">
        <v>32</v>
      </c>
      <c r="G12" s="4"/>
      <c r="H12" s="4"/>
      <c r="I12" s="81">
        <v>8565.08</v>
      </c>
      <c r="J12" s="76">
        <f t="shared" si="7"/>
        <v>0.22244424596779741</v>
      </c>
      <c r="K12" s="4" t="s">
        <v>11</v>
      </c>
      <c r="L12" s="4" t="s">
        <v>12</v>
      </c>
      <c r="M12" s="4"/>
      <c r="N12" s="4" t="s">
        <v>29</v>
      </c>
      <c r="O12" s="8">
        <v>800000</v>
      </c>
      <c r="P12" s="84">
        <f t="shared" si="8"/>
        <v>1094426</v>
      </c>
      <c r="Q12" s="7">
        <v>0</v>
      </c>
      <c r="R12" s="59"/>
    </row>
    <row r="13" spans="1:18">
      <c r="A13" s="58" t="str">
        <f t="shared" si="3"/>
        <v>华东区浙江省</v>
      </c>
      <c r="B13" s="58" t="str">
        <f t="shared" si="5"/>
        <v>标箱组浙江省</v>
      </c>
      <c r="C13" s="4">
        <f t="shared" si="6"/>
        <v>4</v>
      </c>
      <c r="D13" s="4" t="s">
        <v>9</v>
      </c>
      <c r="E13" s="4" t="s">
        <v>10</v>
      </c>
      <c r="F13" s="4" t="s">
        <v>33</v>
      </c>
      <c r="G13" s="4"/>
      <c r="H13" s="4"/>
      <c r="I13" s="81">
        <v>6623.7</v>
      </c>
      <c r="J13" s="76">
        <f t="shared" si="7"/>
        <v>0.17202454057836</v>
      </c>
      <c r="K13" s="4" t="s">
        <v>11</v>
      </c>
      <c r="L13" s="4" t="s">
        <v>12</v>
      </c>
      <c r="M13" s="4"/>
      <c r="N13" s="4" t="s">
        <v>29</v>
      </c>
      <c r="O13" s="8">
        <v>1840000</v>
      </c>
      <c r="P13" s="84">
        <f t="shared" si="8"/>
        <v>846361</v>
      </c>
      <c r="Q13" s="7">
        <v>0</v>
      </c>
      <c r="R13" s="59"/>
    </row>
    <row r="14" spans="1:18">
      <c r="A14" s="58" t="str">
        <f t="shared" si="3"/>
        <v>华东区江西省</v>
      </c>
      <c r="B14" s="58" t="str">
        <f t="shared" si="5"/>
        <v>标箱组江西省</v>
      </c>
      <c r="C14" s="4">
        <f t="shared" si="6"/>
        <v>5</v>
      </c>
      <c r="D14" s="4" t="s">
        <v>9</v>
      </c>
      <c r="E14" s="4" t="s">
        <v>10</v>
      </c>
      <c r="F14" s="4" t="s">
        <v>34</v>
      </c>
      <c r="G14" s="4"/>
      <c r="H14" s="4"/>
      <c r="I14" s="81">
        <v>4527.5200000000004</v>
      </c>
      <c r="J14" s="76">
        <f t="shared" si="7"/>
        <v>0.11758451438913847</v>
      </c>
      <c r="K14" s="4" t="s">
        <v>11</v>
      </c>
      <c r="L14" s="4" t="s">
        <v>12</v>
      </c>
      <c r="M14" s="4"/>
      <c r="N14" s="4" t="s">
        <v>29</v>
      </c>
      <c r="O14" s="8">
        <v>580000</v>
      </c>
      <c r="P14" s="84">
        <f t="shared" si="8"/>
        <v>578516</v>
      </c>
      <c r="Q14" s="7">
        <v>0</v>
      </c>
      <c r="R14" s="59"/>
    </row>
    <row r="15" spans="1:18">
      <c r="A15" s="58" t="str">
        <f t="shared" si="3"/>
        <v>华东区山东省</v>
      </c>
      <c r="B15" s="58" t="str">
        <f t="shared" si="5"/>
        <v>标箱组山东省</v>
      </c>
      <c r="C15" s="4">
        <f t="shared" si="6"/>
        <v>6</v>
      </c>
      <c r="D15" s="4" t="s">
        <v>9</v>
      </c>
      <c r="E15" s="4" t="s">
        <v>10</v>
      </c>
      <c r="F15" s="4" t="s">
        <v>35</v>
      </c>
      <c r="G15" s="4"/>
      <c r="H15" s="4"/>
      <c r="I15" s="81">
        <v>10165.65</v>
      </c>
      <c r="J15" s="76">
        <f t="shared" si="7"/>
        <v>0.26401275283156017</v>
      </c>
      <c r="K15" s="4" t="s">
        <v>11</v>
      </c>
      <c r="L15" s="4" t="s">
        <v>36</v>
      </c>
      <c r="M15" s="4" t="s">
        <v>28</v>
      </c>
      <c r="N15" s="4" t="s">
        <v>29</v>
      </c>
      <c r="O15" s="8">
        <v>1000000</v>
      </c>
      <c r="P15" s="84">
        <f t="shared" si="8"/>
        <v>1298943</v>
      </c>
      <c r="Q15" s="7">
        <v>2610000</v>
      </c>
      <c r="R15" s="59"/>
    </row>
    <row r="16" spans="1:18">
      <c r="A16" s="58" t="str">
        <f t="shared" si="3"/>
        <v>华南区广东省</v>
      </c>
      <c r="B16" s="58" t="str">
        <f t="shared" si="5"/>
        <v>标箱组广东省</v>
      </c>
      <c r="C16" s="4">
        <f t="shared" si="6"/>
        <v>7</v>
      </c>
      <c r="D16" s="4" t="s">
        <v>9</v>
      </c>
      <c r="E16" s="12" t="s">
        <v>14</v>
      </c>
      <c r="F16" s="12" t="s">
        <v>37</v>
      </c>
      <c r="G16" s="12"/>
      <c r="H16" s="12"/>
      <c r="I16" s="81">
        <v>12714.78</v>
      </c>
      <c r="J16" s="76">
        <f t="shared" si="7"/>
        <v>0.55131909114678535</v>
      </c>
      <c r="K16" s="4" t="s">
        <v>28</v>
      </c>
      <c r="L16" s="4" t="s">
        <v>12</v>
      </c>
      <c r="M16" s="4"/>
      <c r="N16" s="4" t="s">
        <v>29</v>
      </c>
      <c r="O16" s="7">
        <v>0</v>
      </c>
      <c r="P16" s="84">
        <f t="shared" si="8"/>
        <v>838005</v>
      </c>
      <c r="Q16" s="7">
        <v>0</v>
      </c>
      <c r="R16" s="59"/>
    </row>
    <row r="17" spans="1:18">
      <c r="A17" s="58" t="str">
        <f t="shared" si="3"/>
        <v>华南区海南省</v>
      </c>
      <c r="B17" s="58" t="str">
        <f t="shared" si="5"/>
        <v>标箱组海南省</v>
      </c>
      <c r="C17" s="4">
        <f t="shared" si="6"/>
        <v>8</v>
      </c>
      <c r="D17" s="4" t="s">
        <v>9</v>
      </c>
      <c r="E17" s="12" t="s">
        <v>14</v>
      </c>
      <c r="F17" s="60" t="s">
        <v>38</v>
      </c>
      <c r="G17" s="60"/>
      <c r="H17" s="60"/>
      <c r="I17" s="81">
        <v>1038.23</v>
      </c>
      <c r="J17" s="76">
        <f t="shared" si="7"/>
        <v>4.501816154123995E-2</v>
      </c>
      <c r="K17" s="4" t="s">
        <v>28</v>
      </c>
      <c r="L17" s="4" t="s">
        <v>12</v>
      </c>
      <c r="M17" s="4"/>
      <c r="N17" s="4" t="s">
        <v>29</v>
      </c>
      <c r="O17" s="7">
        <v>0</v>
      </c>
      <c r="P17" s="84">
        <f t="shared" si="8"/>
        <v>68428</v>
      </c>
      <c r="Q17" s="7">
        <v>0</v>
      </c>
      <c r="R17" s="59"/>
    </row>
    <row r="18" spans="1:18">
      <c r="A18" s="58" t="str">
        <f t="shared" si="3"/>
        <v>华南区广西壮族自治区</v>
      </c>
      <c r="B18" s="58" t="str">
        <f t="shared" si="5"/>
        <v>标箱组广西壮族自治区</v>
      </c>
      <c r="C18" s="4">
        <f t="shared" si="6"/>
        <v>9</v>
      </c>
      <c r="D18" s="4" t="s">
        <v>9</v>
      </c>
      <c r="E18" s="4" t="s">
        <v>14</v>
      </c>
      <c r="F18" s="4" t="s">
        <v>39</v>
      </c>
      <c r="G18" s="4"/>
      <c r="H18" s="4"/>
      <c r="I18" s="81">
        <v>5128.51</v>
      </c>
      <c r="J18" s="76">
        <f t="shared" si="7"/>
        <v>0.22237470661208453</v>
      </c>
      <c r="K18" s="4" t="s">
        <v>11</v>
      </c>
      <c r="L18" s="4" t="s">
        <v>12</v>
      </c>
      <c r="M18" s="4"/>
      <c r="N18" s="4" t="s">
        <v>29</v>
      </c>
      <c r="O18" s="8">
        <v>900000</v>
      </c>
      <c r="P18" s="84">
        <f t="shared" si="8"/>
        <v>338010</v>
      </c>
      <c r="Q18" s="7">
        <v>0</v>
      </c>
      <c r="R18" s="59"/>
    </row>
    <row r="19" spans="1:18">
      <c r="A19" s="58" t="str">
        <f t="shared" si="3"/>
        <v>华南区福建省</v>
      </c>
      <c r="B19" s="58" t="str">
        <f t="shared" si="5"/>
        <v>标箱组福建省</v>
      </c>
      <c r="C19" s="4">
        <f t="shared" si="6"/>
        <v>10</v>
      </c>
      <c r="D19" s="4" t="s">
        <v>9</v>
      </c>
      <c r="E19" s="4" t="s">
        <v>14</v>
      </c>
      <c r="F19" s="4" t="s">
        <v>40</v>
      </c>
      <c r="G19" s="4"/>
      <c r="H19" s="4"/>
      <c r="I19" s="81">
        <v>4180.95</v>
      </c>
      <c r="J19" s="76">
        <f t="shared" si="7"/>
        <v>0.18128804069989035</v>
      </c>
      <c r="K19" s="4" t="s">
        <v>11</v>
      </c>
      <c r="L19" s="4" t="s">
        <v>12</v>
      </c>
      <c r="M19" s="4"/>
      <c r="N19" s="4" t="s">
        <v>29</v>
      </c>
      <c r="O19" s="8">
        <v>620000</v>
      </c>
      <c r="P19" s="84">
        <f t="shared" si="8"/>
        <v>275558</v>
      </c>
      <c r="Q19" s="7">
        <v>0</v>
      </c>
      <c r="R19" s="59"/>
    </row>
    <row r="20" spans="1:18">
      <c r="A20" s="58" t="str">
        <f t="shared" si="3"/>
        <v>华中区湖南省</v>
      </c>
      <c r="B20" s="58" t="str">
        <f t="shared" si="5"/>
        <v>标箱组湖南省</v>
      </c>
      <c r="C20" s="4">
        <f t="shared" si="6"/>
        <v>11</v>
      </c>
      <c r="D20" s="4" t="s">
        <v>9</v>
      </c>
      <c r="E20" s="4" t="s">
        <v>15</v>
      </c>
      <c r="F20" s="4" t="s">
        <v>41</v>
      </c>
      <c r="G20" s="4"/>
      <c r="H20" s="4"/>
      <c r="I20" s="81">
        <v>6647.38</v>
      </c>
      <c r="J20" s="76">
        <f t="shared" si="7"/>
        <v>0.29477998306896891</v>
      </c>
      <c r="K20" s="4" t="s">
        <v>11</v>
      </c>
      <c r="L20" s="4" t="s">
        <v>42</v>
      </c>
      <c r="M20" s="4" t="s">
        <v>28</v>
      </c>
      <c r="N20" s="4" t="s">
        <v>29</v>
      </c>
      <c r="O20" s="8">
        <v>750000</v>
      </c>
      <c r="P20" s="84">
        <f t="shared" si="8"/>
        <v>1093634</v>
      </c>
      <c r="Q20" s="7">
        <v>930000</v>
      </c>
      <c r="R20" s="59"/>
    </row>
    <row r="21" spans="1:18">
      <c r="A21" s="58" t="str">
        <f t="shared" si="3"/>
        <v>华中区湖北省</v>
      </c>
      <c r="B21" s="58" t="str">
        <f t="shared" si="5"/>
        <v>标箱组湖北省</v>
      </c>
      <c r="C21" s="4">
        <f t="shared" si="6"/>
        <v>12</v>
      </c>
      <c r="D21" s="4" t="s">
        <v>9</v>
      </c>
      <c r="E21" s="4" t="s">
        <v>15</v>
      </c>
      <c r="F21" s="4" t="s">
        <v>43</v>
      </c>
      <c r="G21" s="4"/>
      <c r="H21" s="4"/>
      <c r="I21" s="81">
        <v>6028.86</v>
      </c>
      <c r="J21" s="76">
        <f t="shared" si="7"/>
        <v>0.26735153530040162</v>
      </c>
      <c r="K21" s="4" t="s">
        <v>11</v>
      </c>
      <c r="L21" s="4" t="s">
        <v>12</v>
      </c>
      <c r="M21" s="4"/>
      <c r="N21" s="4" t="s">
        <v>29</v>
      </c>
      <c r="O21" s="8">
        <v>360000</v>
      </c>
      <c r="P21" s="84">
        <f t="shared" si="8"/>
        <v>991874</v>
      </c>
      <c r="Q21" s="7">
        <v>0</v>
      </c>
      <c r="R21" s="59"/>
    </row>
    <row r="22" spans="1:18">
      <c r="A22" s="58" t="str">
        <f t="shared" si="3"/>
        <v>华中区河南省</v>
      </c>
      <c r="B22" s="58" t="str">
        <f t="shared" si="5"/>
        <v>标箱组河南省</v>
      </c>
      <c r="C22" s="4">
        <f t="shared" si="6"/>
        <v>13</v>
      </c>
      <c r="D22" s="4" t="s">
        <v>9</v>
      </c>
      <c r="E22" s="4" t="s">
        <v>15</v>
      </c>
      <c r="F22" s="4" t="s">
        <v>44</v>
      </c>
      <c r="G22" s="4"/>
      <c r="H22" s="4"/>
      <c r="I22" s="81">
        <v>9874.07</v>
      </c>
      <c r="J22" s="76">
        <f t="shared" si="7"/>
        <v>0.43786848163062952</v>
      </c>
      <c r="K22" s="4" t="s">
        <v>11</v>
      </c>
      <c r="L22" s="4" t="s">
        <v>45</v>
      </c>
      <c r="M22" s="4" t="s">
        <v>28</v>
      </c>
      <c r="N22" s="4" t="s">
        <v>29</v>
      </c>
      <c r="O22" s="8">
        <v>2600000</v>
      </c>
      <c r="P22" s="84">
        <f t="shared" si="8"/>
        <v>1624492</v>
      </c>
      <c r="Q22" s="7">
        <v>2780000</v>
      </c>
      <c r="R22" s="59"/>
    </row>
    <row r="23" spans="1:18">
      <c r="A23" s="58" t="str">
        <f t="shared" si="3"/>
        <v>东北区辽宁省</v>
      </c>
      <c r="B23" s="58" t="str">
        <f t="shared" si="5"/>
        <v>标箱组辽宁省</v>
      </c>
      <c r="C23" s="4">
        <f t="shared" si="6"/>
        <v>14</v>
      </c>
      <c r="D23" s="4" t="s">
        <v>9</v>
      </c>
      <c r="E23" s="4" t="s">
        <v>16</v>
      </c>
      <c r="F23" s="4" t="s">
        <v>46</v>
      </c>
      <c r="G23" s="4"/>
      <c r="H23" s="4"/>
      <c r="I23" s="81">
        <v>4924.78</v>
      </c>
      <c r="J23" s="76">
        <f t="shared" si="7"/>
        <v>0.45106648788065284</v>
      </c>
      <c r="K23" s="4" t="s">
        <v>11</v>
      </c>
      <c r="L23" s="4" t="s">
        <v>47</v>
      </c>
      <c r="M23" s="4" t="s">
        <v>28</v>
      </c>
      <c r="N23" s="4" t="s">
        <v>29</v>
      </c>
      <c r="O23" s="8">
        <v>700000</v>
      </c>
      <c r="P23" s="84">
        <f t="shared" si="8"/>
        <v>631493</v>
      </c>
      <c r="Q23" s="7">
        <v>750000</v>
      </c>
      <c r="R23" s="59"/>
    </row>
    <row r="24" spans="1:18">
      <c r="A24" s="58" t="str">
        <f t="shared" si="3"/>
        <v>东北区吉林省</v>
      </c>
      <c r="B24" s="58" t="str">
        <f t="shared" si="5"/>
        <v>标箱组吉林省</v>
      </c>
      <c r="C24" s="4">
        <f t="shared" si="6"/>
        <v>15</v>
      </c>
      <c r="D24" s="4" t="s">
        <v>9</v>
      </c>
      <c r="E24" s="4" t="s">
        <v>16</v>
      </c>
      <c r="F24" s="4" t="s">
        <v>48</v>
      </c>
      <c r="G24" s="4"/>
      <c r="H24" s="4"/>
      <c r="I24" s="81">
        <v>2510.41</v>
      </c>
      <c r="J24" s="76">
        <f t="shared" si="7"/>
        <v>0.22993145314927158</v>
      </c>
      <c r="K24" s="4" t="s">
        <v>11</v>
      </c>
      <c r="L24" s="4" t="s">
        <v>12</v>
      </c>
      <c r="M24" s="4"/>
      <c r="N24" s="4" t="s">
        <v>29</v>
      </c>
      <c r="O24" s="8">
        <v>100000</v>
      </c>
      <c r="P24" s="84">
        <f t="shared" si="8"/>
        <v>321904</v>
      </c>
      <c r="Q24" s="7">
        <v>0</v>
      </c>
      <c r="R24" s="59"/>
    </row>
    <row r="25" spans="1:18" ht="15" customHeight="1">
      <c r="A25" s="58" t="str">
        <f t="shared" si="3"/>
        <v>东北区黑龙江省</v>
      </c>
      <c r="B25" s="58" t="str">
        <f t="shared" si="5"/>
        <v>标箱组黑龙江省</v>
      </c>
      <c r="C25" s="4">
        <f t="shared" si="6"/>
        <v>16</v>
      </c>
      <c r="D25" s="4" t="s">
        <v>9</v>
      </c>
      <c r="E25" s="4" t="s">
        <v>16</v>
      </c>
      <c r="F25" s="4" t="s">
        <v>49</v>
      </c>
      <c r="G25" s="4"/>
      <c r="H25" s="4"/>
      <c r="I25" s="81">
        <v>3482.89</v>
      </c>
      <c r="J25" s="76">
        <f t="shared" si="7"/>
        <v>0.31900205897007522</v>
      </c>
      <c r="K25" s="4" t="s">
        <v>11</v>
      </c>
      <c r="L25" s="4" t="s">
        <v>50</v>
      </c>
      <c r="M25" s="4" t="s">
        <v>28</v>
      </c>
      <c r="N25" s="4" t="s">
        <v>29</v>
      </c>
      <c r="O25" s="8">
        <v>600000</v>
      </c>
      <c r="P25" s="84">
        <f t="shared" si="8"/>
        <v>446603</v>
      </c>
      <c r="Q25" s="7">
        <v>650000</v>
      </c>
      <c r="R25" s="59"/>
    </row>
    <row r="26" spans="1:18">
      <c r="A26" s="58" t="str">
        <f t="shared" si="3"/>
        <v>华北区北京市</v>
      </c>
      <c r="B26" s="58" t="str">
        <f t="shared" si="5"/>
        <v>标箱组北京市</v>
      </c>
      <c r="C26" s="4">
        <f t="shared" si="6"/>
        <v>17</v>
      </c>
      <c r="D26" s="4" t="s">
        <v>9</v>
      </c>
      <c r="E26" s="4" t="s">
        <v>17</v>
      </c>
      <c r="F26" s="4" t="s">
        <v>51</v>
      </c>
      <c r="G26" s="4"/>
      <c r="H26" s="4"/>
      <c r="I26" s="81">
        <v>2927.35</v>
      </c>
      <c r="J26" s="76">
        <f t="shared" si="7"/>
        <v>0.1784450498239232</v>
      </c>
      <c r="K26" s="4" t="s">
        <v>11</v>
      </c>
      <c r="L26" s="4" t="s">
        <v>12</v>
      </c>
      <c r="M26" s="4"/>
      <c r="N26" s="4" t="s">
        <v>29</v>
      </c>
      <c r="O26" s="8">
        <v>110000</v>
      </c>
      <c r="P26" s="84">
        <f t="shared" si="8"/>
        <v>349752</v>
      </c>
      <c r="Q26" s="7">
        <v>0</v>
      </c>
      <c r="R26" s="59"/>
    </row>
    <row r="27" spans="1:18">
      <c r="A27" s="58" t="str">
        <f t="shared" si="3"/>
        <v>华北区天津市</v>
      </c>
      <c r="B27" s="58" t="str">
        <f t="shared" si="5"/>
        <v>标箱组天津市</v>
      </c>
      <c r="C27" s="4">
        <f t="shared" si="6"/>
        <v>18</v>
      </c>
      <c r="D27" s="4" t="s">
        <v>9</v>
      </c>
      <c r="E27" s="4" t="s">
        <v>17</v>
      </c>
      <c r="F27" s="4" t="s">
        <v>52</v>
      </c>
      <c r="G27" s="4"/>
      <c r="H27" s="4"/>
      <c r="I27" s="81">
        <v>2990.82</v>
      </c>
      <c r="J27" s="76">
        <f t="shared" si="7"/>
        <v>0.18231404646331528</v>
      </c>
      <c r="K27" s="4" t="s">
        <v>11</v>
      </c>
      <c r="L27" s="4" t="s">
        <v>53</v>
      </c>
      <c r="M27" s="4" t="s">
        <v>28</v>
      </c>
      <c r="N27" s="4" t="s">
        <v>29</v>
      </c>
      <c r="O27" s="8">
        <v>600000</v>
      </c>
      <c r="P27" s="84">
        <f t="shared" si="8"/>
        <v>357336</v>
      </c>
      <c r="Q27" s="7">
        <v>636667</v>
      </c>
      <c r="R27" s="59"/>
    </row>
    <row r="28" spans="1:18">
      <c r="A28" s="58" t="str">
        <f t="shared" si="3"/>
        <v>华北区河北省</v>
      </c>
      <c r="B28" s="58" t="str">
        <f t="shared" si="5"/>
        <v>标箱组河北省</v>
      </c>
      <c r="C28" s="4">
        <f t="shared" si="6"/>
        <v>19</v>
      </c>
      <c r="D28" s="4" t="s">
        <v>9</v>
      </c>
      <c r="E28" s="4" t="s">
        <v>17</v>
      </c>
      <c r="F28" s="4" t="s">
        <v>54</v>
      </c>
      <c r="G28" s="4"/>
      <c r="H28" s="4"/>
      <c r="I28" s="81">
        <v>5035.04</v>
      </c>
      <c r="J28" s="76">
        <f t="shared" si="7"/>
        <v>0.30692536378138802</v>
      </c>
      <c r="K28" s="4" t="s">
        <v>11</v>
      </c>
      <c r="L28" s="4" t="s">
        <v>55</v>
      </c>
      <c r="M28" s="4" t="s">
        <v>28</v>
      </c>
      <c r="N28" s="4" t="s">
        <v>29</v>
      </c>
      <c r="O28" s="8">
        <v>800000</v>
      </c>
      <c r="P28" s="84">
        <f t="shared" si="8"/>
        <v>601574</v>
      </c>
      <c r="Q28" s="7">
        <v>836667</v>
      </c>
      <c r="R28" s="59"/>
    </row>
    <row r="29" spans="1:18">
      <c r="A29" s="58" t="str">
        <f t="shared" si="3"/>
        <v>华北区山西省</v>
      </c>
      <c r="B29" s="58" t="str">
        <f t="shared" si="5"/>
        <v>标箱组山西省</v>
      </c>
      <c r="C29" s="4">
        <f t="shared" si="6"/>
        <v>20</v>
      </c>
      <c r="D29" s="4" t="s">
        <v>9</v>
      </c>
      <c r="E29" s="4" t="s">
        <v>17</v>
      </c>
      <c r="F29" s="4" t="s">
        <v>56</v>
      </c>
      <c r="G29" s="4"/>
      <c r="H29" s="4"/>
      <c r="I29" s="81">
        <v>3481.24</v>
      </c>
      <c r="J29" s="76">
        <f t="shared" si="7"/>
        <v>0.21220900994040151</v>
      </c>
      <c r="K29" s="4" t="s">
        <v>11</v>
      </c>
      <c r="L29" s="4" t="s">
        <v>57</v>
      </c>
      <c r="M29" s="4" t="s">
        <v>28</v>
      </c>
      <c r="N29" s="4" t="s">
        <v>29</v>
      </c>
      <c r="O29" s="8">
        <v>450000</v>
      </c>
      <c r="P29" s="84">
        <f t="shared" si="8"/>
        <v>415930</v>
      </c>
      <c r="Q29" s="7">
        <v>486667</v>
      </c>
      <c r="R29" s="59"/>
    </row>
    <row r="30" spans="1:18">
      <c r="A30" s="58" t="str">
        <f t="shared" si="3"/>
        <v>华北区内蒙古自治区</v>
      </c>
      <c r="B30" s="58" t="str">
        <f t="shared" si="5"/>
        <v>标箱组内蒙古自治区</v>
      </c>
      <c r="C30" s="4">
        <f t="shared" si="6"/>
        <v>21</v>
      </c>
      <c r="D30" s="4" t="s">
        <v>9</v>
      </c>
      <c r="E30" s="12" t="s">
        <v>17</v>
      </c>
      <c r="F30" s="12" t="s">
        <v>58</v>
      </c>
      <c r="G30" s="12"/>
      <c r="H30" s="12"/>
      <c r="I30" s="81">
        <v>1970.32</v>
      </c>
      <c r="J30" s="76">
        <f t="shared" si="7"/>
        <v>0.12010652999097216</v>
      </c>
      <c r="K30" s="4" t="s">
        <v>28</v>
      </c>
      <c r="L30" s="4" t="s">
        <v>12</v>
      </c>
      <c r="M30" s="4"/>
      <c r="N30" s="4" t="s">
        <v>29</v>
      </c>
      <c r="O30" s="7">
        <v>0</v>
      </c>
      <c r="P30" s="84">
        <f t="shared" si="8"/>
        <v>235409</v>
      </c>
      <c r="Q30" s="7">
        <v>0</v>
      </c>
      <c r="R30" s="59"/>
    </row>
    <row r="31" spans="1:18">
      <c r="A31" s="58" t="str">
        <f t="shared" si="3"/>
        <v>西南区重庆市</v>
      </c>
      <c r="B31" s="58" t="str">
        <f t="shared" si="5"/>
        <v>标箱组重庆市</v>
      </c>
      <c r="C31" s="4">
        <f t="shared" si="6"/>
        <v>22</v>
      </c>
      <c r="D31" s="4" t="s">
        <v>9</v>
      </c>
      <c r="E31" s="4" t="s">
        <v>18</v>
      </c>
      <c r="F31" s="4" t="s">
        <v>59</v>
      </c>
      <c r="G31" s="4"/>
      <c r="H31" s="4"/>
      <c r="I31" s="81">
        <v>3728.39</v>
      </c>
      <c r="J31" s="76">
        <f t="shared" si="7"/>
        <v>0.12267988013639466</v>
      </c>
      <c r="K31" s="4" t="s">
        <v>11</v>
      </c>
      <c r="L31" s="4" t="s">
        <v>60</v>
      </c>
      <c r="M31" s="4" t="s">
        <v>28</v>
      </c>
      <c r="N31" s="4" t="s">
        <v>29</v>
      </c>
      <c r="O31" s="8">
        <v>800000</v>
      </c>
      <c r="P31" s="84">
        <f t="shared" si="8"/>
        <v>417112</v>
      </c>
      <c r="Q31" s="7">
        <v>1700000</v>
      </c>
      <c r="R31" s="59"/>
    </row>
    <row r="32" spans="1:18">
      <c r="A32" s="58" t="str">
        <f t="shared" si="3"/>
        <v>西南区四川省</v>
      </c>
      <c r="B32" s="58" t="str">
        <f t="shared" si="5"/>
        <v>标箱组四川省</v>
      </c>
      <c r="C32" s="4">
        <f t="shared" si="6"/>
        <v>23</v>
      </c>
      <c r="D32" s="4" t="s">
        <v>9</v>
      </c>
      <c r="E32" s="4" t="s">
        <v>18</v>
      </c>
      <c r="F32" s="4" t="s">
        <v>61</v>
      </c>
      <c r="G32" s="4"/>
      <c r="H32" s="4"/>
      <c r="I32" s="81">
        <v>7848.26</v>
      </c>
      <c r="J32" s="76">
        <f t="shared" si="7"/>
        <v>0.2582411164280724</v>
      </c>
      <c r="K32" s="4" t="s">
        <v>11</v>
      </c>
      <c r="L32" s="4" t="s">
        <v>62</v>
      </c>
      <c r="M32" s="4" t="s">
        <v>28</v>
      </c>
      <c r="N32" s="4" t="s">
        <v>29</v>
      </c>
      <c r="O32" s="8">
        <v>800000</v>
      </c>
      <c r="P32" s="84">
        <f t="shared" si="8"/>
        <v>878020</v>
      </c>
      <c r="Q32" s="7">
        <v>1700000</v>
      </c>
      <c r="R32" s="59"/>
    </row>
    <row r="33" spans="1:18">
      <c r="A33" s="58" t="str">
        <f t="shared" si="3"/>
        <v>西南区云南省</v>
      </c>
      <c r="B33" s="58" t="str">
        <f t="shared" si="5"/>
        <v>标箱组云南省</v>
      </c>
      <c r="C33" s="4">
        <f t="shared" si="6"/>
        <v>24</v>
      </c>
      <c r="D33" s="4" t="s">
        <v>9</v>
      </c>
      <c r="E33" s="4" t="s">
        <v>18</v>
      </c>
      <c r="F33" s="4" t="s">
        <v>63</v>
      </c>
      <c r="G33" s="4"/>
      <c r="H33" s="4"/>
      <c r="I33" s="81">
        <v>4724.33</v>
      </c>
      <c r="J33" s="76">
        <f t="shared" si="7"/>
        <v>0.15545053981068865</v>
      </c>
      <c r="K33" s="4" t="s">
        <v>11</v>
      </c>
      <c r="L33" s="4" t="s">
        <v>12</v>
      </c>
      <c r="M33" s="4"/>
      <c r="N33" s="4" t="s">
        <v>29</v>
      </c>
      <c r="O33" s="8">
        <v>250000</v>
      </c>
      <c r="P33" s="84">
        <f t="shared" si="8"/>
        <v>528532</v>
      </c>
      <c r="Q33" s="7">
        <v>0</v>
      </c>
      <c r="R33" s="59"/>
    </row>
    <row r="34" spans="1:18">
      <c r="A34" s="58" t="str">
        <f t="shared" si="3"/>
        <v>西南区贵州省</v>
      </c>
      <c r="B34" s="58" t="str">
        <f t="shared" si="5"/>
        <v>标箱组贵州省</v>
      </c>
      <c r="C34" s="4">
        <f t="shared" si="6"/>
        <v>25</v>
      </c>
      <c r="D34" s="4" t="s">
        <v>9</v>
      </c>
      <c r="E34" s="4" t="s">
        <v>18</v>
      </c>
      <c r="F34" s="4" t="s">
        <v>64</v>
      </c>
      <c r="G34" s="4"/>
      <c r="H34" s="4"/>
      <c r="I34" s="81">
        <v>3859.22</v>
      </c>
      <c r="J34" s="76">
        <f t="shared" si="7"/>
        <v>0.12698474328596981</v>
      </c>
      <c r="K34" s="4" t="s">
        <v>11</v>
      </c>
      <c r="L34" s="4" t="s">
        <v>12</v>
      </c>
      <c r="M34" s="4"/>
      <c r="N34" s="4" t="s">
        <v>29</v>
      </c>
      <c r="O34" s="8">
        <v>950000</v>
      </c>
      <c r="P34" s="84">
        <f t="shared" si="8"/>
        <v>431748</v>
      </c>
      <c r="Q34" s="7">
        <v>0</v>
      </c>
      <c r="R34" s="59"/>
    </row>
    <row r="35" spans="1:18">
      <c r="A35" s="58" t="str">
        <f t="shared" si="3"/>
        <v>西南区陕西省</v>
      </c>
      <c r="B35" s="58" t="str">
        <f t="shared" si="5"/>
        <v>标箱组陕西省</v>
      </c>
      <c r="C35" s="4">
        <f t="shared" si="6"/>
        <v>26</v>
      </c>
      <c r="D35" s="4" t="s">
        <v>9</v>
      </c>
      <c r="E35" s="4" t="s">
        <v>18</v>
      </c>
      <c r="F35" s="4" t="s">
        <v>65</v>
      </c>
      <c r="G35" s="4"/>
      <c r="H35" s="4"/>
      <c r="I35" s="81">
        <v>4562.9799999999996</v>
      </c>
      <c r="J35" s="76">
        <f t="shared" si="7"/>
        <v>0.15014143892263582</v>
      </c>
      <c r="K35" s="4" t="s">
        <v>11</v>
      </c>
      <c r="L35" s="4" t="s">
        <v>12</v>
      </c>
      <c r="M35" s="4"/>
      <c r="N35" s="4" t="s">
        <v>29</v>
      </c>
      <c r="O35" s="8">
        <v>350000</v>
      </c>
      <c r="P35" s="84">
        <f t="shared" si="8"/>
        <v>510481</v>
      </c>
      <c r="Q35" s="7">
        <v>0</v>
      </c>
      <c r="R35" s="59"/>
    </row>
    <row r="36" spans="1:18">
      <c r="A36" s="58" t="str">
        <f t="shared" si="3"/>
        <v>西南区甘肃省</v>
      </c>
      <c r="B36" s="58" t="str">
        <f t="shared" si="5"/>
        <v>标箱组甘肃省</v>
      </c>
      <c r="C36" s="4">
        <f t="shared" si="6"/>
        <v>27</v>
      </c>
      <c r="D36" s="4" t="s">
        <v>9</v>
      </c>
      <c r="E36" s="4" t="s">
        <v>18</v>
      </c>
      <c r="F36" s="4" t="s">
        <v>66</v>
      </c>
      <c r="G36" s="4"/>
      <c r="H36" s="4"/>
      <c r="I36" s="81">
        <v>3391.46</v>
      </c>
      <c r="J36" s="76">
        <f t="shared" si="7"/>
        <v>0.11159345086951127</v>
      </c>
      <c r="K36" s="4" t="s">
        <v>11</v>
      </c>
      <c r="L36" s="4" t="s">
        <v>12</v>
      </c>
      <c r="M36" s="4"/>
      <c r="N36" s="4" t="s">
        <v>29</v>
      </c>
      <c r="O36" s="8">
        <v>250000</v>
      </c>
      <c r="P36" s="84">
        <f t="shared" si="8"/>
        <v>379418</v>
      </c>
      <c r="Q36" s="7">
        <v>0</v>
      </c>
      <c r="R36" s="59"/>
    </row>
    <row r="37" spans="1:18">
      <c r="A37" s="58" t="str">
        <f t="shared" si="3"/>
        <v>西南区西藏自治区</v>
      </c>
      <c r="B37" s="58" t="str">
        <f t="shared" si="5"/>
        <v>标箱组西藏自治区</v>
      </c>
      <c r="C37" s="4">
        <f t="shared" si="6"/>
        <v>28</v>
      </c>
      <c r="D37" s="4" t="s">
        <v>9</v>
      </c>
      <c r="E37" s="12" t="s">
        <v>18</v>
      </c>
      <c r="F37" s="12" t="s">
        <v>67</v>
      </c>
      <c r="G37" s="12"/>
      <c r="H37" s="12"/>
      <c r="I37" s="81">
        <v>0</v>
      </c>
      <c r="J37" s="76">
        <f t="shared" si="7"/>
        <v>0</v>
      </c>
      <c r="K37" s="4" t="s">
        <v>28</v>
      </c>
      <c r="L37" s="4" t="s">
        <v>12</v>
      </c>
      <c r="M37" s="4"/>
      <c r="N37" s="4" t="s">
        <v>29</v>
      </c>
      <c r="O37" s="7"/>
      <c r="P37" s="84">
        <f t="shared" si="8"/>
        <v>0</v>
      </c>
      <c r="Q37" s="7">
        <v>0</v>
      </c>
      <c r="R37" s="59"/>
    </row>
    <row r="38" spans="1:18">
      <c r="A38" s="58" t="str">
        <f t="shared" si="3"/>
        <v>西南区宁夏回族自治区</v>
      </c>
      <c r="B38" s="58" t="str">
        <f t="shared" si="5"/>
        <v>标箱组宁夏回族自治区</v>
      </c>
      <c r="C38" s="4">
        <f t="shared" si="6"/>
        <v>29</v>
      </c>
      <c r="D38" s="4" t="s">
        <v>9</v>
      </c>
      <c r="E38" s="12" t="s">
        <v>18</v>
      </c>
      <c r="F38" s="12" t="s">
        <v>68</v>
      </c>
      <c r="G38" s="12"/>
      <c r="H38" s="12"/>
      <c r="I38" s="81">
        <v>0</v>
      </c>
      <c r="J38" s="76">
        <f t="shared" si="7"/>
        <v>0</v>
      </c>
      <c r="K38" s="4" t="s">
        <v>28</v>
      </c>
      <c r="L38" s="4" t="s">
        <v>12</v>
      </c>
      <c r="M38" s="4"/>
      <c r="N38" s="4" t="s">
        <v>29</v>
      </c>
      <c r="O38" s="7"/>
      <c r="P38" s="84">
        <f t="shared" si="8"/>
        <v>0</v>
      </c>
      <c r="Q38" s="7">
        <v>0</v>
      </c>
      <c r="R38" s="59"/>
    </row>
    <row r="39" spans="1:18">
      <c r="A39" s="58" t="str">
        <f t="shared" si="3"/>
        <v>西南区青海省</v>
      </c>
      <c r="B39" s="58" t="str">
        <f t="shared" si="5"/>
        <v>标箱组青海省</v>
      </c>
      <c r="C39" s="4">
        <f t="shared" si="6"/>
        <v>30</v>
      </c>
      <c r="D39" s="4" t="s">
        <v>9</v>
      </c>
      <c r="E39" s="12" t="s">
        <v>18</v>
      </c>
      <c r="F39" s="12" t="s">
        <v>69</v>
      </c>
      <c r="G39" s="12"/>
      <c r="H39" s="12"/>
      <c r="I39" s="81">
        <v>0</v>
      </c>
      <c r="J39" s="76">
        <f t="shared" si="7"/>
        <v>0</v>
      </c>
      <c r="K39" s="4" t="s">
        <v>28</v>
      </c>
      <c r="L39" s="4" t="s">
        <v>12</v>
      </c>
      <c r="M39" s="4"/>
      <c r="N39" s="4" t="s">
        <v>29</v>
      </c>
      <c r="O39" s="7"/>
      <c r="P39" s="84">
        <f t="shared" si="8"/>
        <v>0</v>
      </c>
      <c r="Q39" s="7">
        <v>0</v>
      </c>
      <c r="R39" s="59"/>
    </row>
    <row r="40" spans="1:18">
      <c r="A40" s="58" t="str">
        <f t="shared" si="3"/>
        <v>西南区新疆维吾尔自治区</v>
      </c>
      <c r="B40" s="58" t="str">
        <f t="shared" si="5"/>
        <v>标箱组新疆维吾尔自治区</v>
      </c>
      <c r="C40" s="4">
        <f t="shared" si="6"/>
        <v>31</v>
      </c>
      <c r="D40" s="4" t="s">
        <v>9</v>
      </c>
      <c r="E40" s="12" t="s">
        <v>18</v>
      </c>
      <c r="F40" s="12" t="s">
        <v>70</v>
      </c>
      <c r="G40" s="12"/>
      <c r="H40" s="12"/>
      <c r="I40" s="81">
        <v>2276.5700000000002</v>
      </c>
      <c r="J40" s="76">
        <f t="shared" si="7"/>
        <v>7.4908830546727145E-2</v>
      </c>
      <c r="K40" s="4" t="s">
        <v>28</v>
      </c>
      <c r="L40" s="4" t="s">
        <v>12</v>
      </c>
      <c r="M40" s="4"/>
      <c r="N40" s="4" t="s">
        <v>29</v>
      </c>
      <c r="O40" s="7"/>
      <c r="P40" s="84">
        <f t="shared" si="8"/>
        <v>254690</v>
      </c>
      <c r="Q40" s="7">
        <v>0</v>
      </c>
      <c r="R40" s="59"/>
    </row>
    <row r="41" spans="1:18">
      <c r="A41" s="58" t="str">
        <f t="shared" si="3"/>
        <v>东北区吉林省兴安盟所</v>
      </c>
      <c r="B41" s="58" t="str">
        <f t="shared" si="5"/>
        <v>标箱组兴安盟所</v>
      </c>
      <c r="C41" s="4">
        <v>1</v>
      </c>
      <c r="D41" s="4" t="s">
        <v>9</v>
      </c>
      <c r="E41" s="4" t="str">
        <f t="shared" ref="E41:E104" si="9">_xlfn.XLOOKUP($F41,F:F,E:E)</f>
        <v>东北区</v>
      </c>
      <c r="F41" s="4" t="s">
        <v>48</v>
      </c>
      <c r="G41" s="4" t="s">
        <v>148</v>
      </c>
      <c r="H41" s="4" t="s">
        <v>155</v>
      </c>
      <c r="I41" s="83">
        <v>139.61000000000001</v>
      </c>
      <c r="J41" s="76">
        <f ca="1">I41/SUMIF($F$41:$G$456,$F41,$I$41:$I$456)</f>
        <v>5.5612429842137337E-2</v>
      </c>
      <c r="K41" s="4" t="str">
        <f t="shared" ref="K41:K104" si="10">_xlfn.XLOOKUP(F41,F:F,K:K,0)</f>
        <v>是</v>
      </c>
      <c r="L41" s="4" t="s">
        <v>12</v>
      </c>
      <c r="M41" s="4"/>
      <c r="N41" s="4" t="s">
        <v>73</v>
      </c>
      <c r="O41" s="8"/>
      <c r="P41" s="84">
        <f ca="1">ROUND(J41*VLOOKUP(F41,F:P,11,0),0)</f>
        <v>17902</v>
      </c>
      <c r="Q41" s="7">
        <v>0</v>
      </c>
      <c r="R41" s="59"/>
    </row>
    <row r="42" spans="1:18">
      <c r="A42" s="58" t="str">
        <f t="shared" si="3"/>
        <v>东北区吉林省吉林所</v>
      </c>
      <c r="B42" s="58" t="str">
        <f t="shared" si="5"/>
        <v>标箱组吉林所</v>
      </c>
      <c r="C42" s="4">
        <v>2</v>
      </c>
      <c r="D42" s="4" t="s">
        <v>9</v>
      </c>
      <c r="E42" s="4" t="str">
        <f t="shared" si="9"/>
        <v>东北区</v>
      </c>
      <c r="F42" s="4" t="s">
        <v>48</v>
      </c>
      <c r="G42" s="4" t="s">
        <v>148</v>
      </c>
      <c r="H42" s="4" t="s">
        <v>151</v>
      </c>
      <c r="I42" s="83">
        <v>362.38</v>
      </c>
      <c r="J42" s="76">
        <f t="shared" ref="J42:J105" ca="1" si="11">I42/SUMIF($F$41:$G$456,$F42,$I$41:$I$456)</f>
        <v>0.14435092275763717</v>
      </c>
      <c r="K42" s="4" t="str">
        <f t="shared" si="10"/>
        <v>是</v>
      </c>
      <c r="L42" s="4" t="s">
        <v>12</v>
      </c>
      <c r="M42" s="4"/>
      <c r="N42" s="4" t="s">
        <v>73</v>
      </c>
      <c r="O42" s="8"/>
      <c r="P42" s="84">
        <f t="shared" ref="P42:P105" ca="1" si="12">ROUND(J42*VLOOKUP(F42,F:P,11,0),0)</f>
        <v>46467</v>
      </c>
      <c r="Q42" s="7">
        <v>0</v>
      </c>
      <c r="R42" s="59"/>
    </row>
    <row r="43" spans="1:18">
      <c r="A43" s="58" t="str">
        <f t="shared" si="3"/>
        <v>东北区吉林省四平所</v>
      </c>
      <c r="B43" s="58" t="str">
        <f t="shared" si="5"/>
        <v>标箱组四平所</v>
      </c>
      <c r="C43" s="4">
        <v>3</v>
      </c>
      <c r="D43" s="4" t="s">
        <v>9</v>
      </c>
      <c r="E43" s="4" t="str">
        <f t="shared" si="9"/>
        <v>东北区</v>
      </c>
      <c r="F43" s="4" t="s">
        <v>48</v>
      </c>
      <c r="G43" s="4" t="s">
        <v>148</v>
      </c>
      <c r="H43" s="4" t="s">
        <v>152</v>
      </c>
      <c r="I43" s="83">
        <v>265.61</v>
      </c>
      <c r="J43" s="76">
        <f t="shared" ca="1" si="11"/>
        <v>0.10580343449874721</v>
      </c>
      <c r="K43" s="4" t="str">
        <f t="shared" si="10"/>
        <v>是</v>
      </c>
      <c r="L43" s="4" t="s">
        <v>12</v>
      </c>
      <c r="M43" s="4"/>
      <c r="N43" s="4" t="s">
        <v>73</v>
      </c>
      <c r="O43" s="8"/>
      <c r="P43" s="84">
        <f t="shared" ca="1" si="12"/>
        <v>34059</v>
      </c>
      <c r="Q43" s="7">
        <v>0</v>
      </c>
      <c r="R43" s="59"/>
    </row>
    <row r="44" spans="1:18">
      <c r="A44" s="58" t="str">
        <f t="shared" si="3"/>
        <v>东北区吉林省延边所</v>
      </c>
      <c r="B44" s="58" t="str">
        <f t="shared" si="5"/>
        <v>标箱组延边所</v>
      </c>
      <c r="C44" s="4">
        <v>4</v>
      </c>
      <c r="D44" s="4" t="s">
        <v>9</v>
      </c>
      <c r="E44" s="4" t="str">
        <f t="shared" si="9"/>
        <v>东北区</v>
      </c>
      <c r="F44" s="4" t="s">
        <v>48</v>
      </c>
      <c r="G44" s="4" t="s">
        <v>148</v>
      </c>
      <c r="H44" s="4" t="s">
        <v>156</v>
      </c>
      <c r="I44" s="83">
        <v>207.21</v>
      </c>
      <c r="J44" s="76">
        <f t="shared" ca="1" si="11"/>
        <v>8.2540302181715333E-2</v>
      </c>
      <c r="K44" s="4" t="str">
        <f t="shared" si="10"/>
        <v>是</v>
      </c>
      <c r="L44" s="4" t="s">
        <v>12</v>
      </c>
      <c r="M44" s="4"/>
      <c r="N44" s="4" t="s">
        <v>73</v>
      </c>
      <c r="O44" s="8"/>
      <c r="P44" s="84">
        <f t="shared" ca="1" si="12"/>
        <v>26570</v>
      </c>
      <c r="Q44" s="7">
        <v>0</v>
      </c>
      <c r="R44" s="59"/>
    </row>
    <row r="45" spans="1:18">
      <c r="A45" s="58" t="str">
        <f t="shared" si="3"/>
        <v>东北区吉林省松原所</v>
      </c>
      <c r="B45" s="58" t="str">
        <f t="shared" si="5"/>
        <v>标箱组松原所</v>
      </c>
      <c r="C45" s="4">
        <v>5</v>
      </c>
      <c r="D45" s="4" t="s">
        <v>9</v>
      </c>
      <c r="E45" s="4" t="str">
        <f t="shared" si="9"/>
        <v>东北区</v>
      </c>
      <c r="F45" s="4" t="s">
        <v>48</v>
      </c>
      <c r="G45" s="4" t="s">
        <v>148</v>
      </c>
      <c r="H45" s="4" t="s">
        <v>153</v>
      </c>
      <c r="I45" s="83">
        <v>224.99</v>
      </c>
      <c r="J45" s="76">
        <f t="shared" ca="1" si="11"/>
        <v>8.9622810616592496E-2</v>
      </c>
      <c r="K45" s="4" t="str">
        <f t="shared" si="10"/>
        <v>是</v>
      </c>
      <c r="L45" s="4" t="s">
        <v>12</v>
      </c>
      <c r="M45" s="4"/>
      <c r="N45" s="4" t="s">
        <v>73</v>
      </c>
      <c r="O45" s="8"/>
      <c r="P45" s="84">
        <f t="shared" ca="1" si="12"/>
        <v>28850</v>
      </c>
      <c r="Q45" s="7">
        <v>0</v>
      </c>
      <c r="R45" s="59"/>
    </row>
    <row r="46" spans="1:18">
      <c r="A46" s="58" t="str">
        <f t="shared" si="3"/>
        <v>东北区吉林省白城所</v>
      </c>
      <c r="B46" s="58" t="str">
        <f t="shared" si="5"/>
        <v>标箱组白城所</v>
      </c>
      <c r="C46" s="4">
        <v>6</v>
      </c>
      <c r="D46" s="4" t="s">
        <v>9</v>
      </c>
      <c r="E46" s="4" t="str">
        <f t="shared" si="9"/>
        <v>东北区</v>
      </c>
      <c r="F46" s="4" t="s">
        <v>48</v>
      </c>
      <c r="G46" s="4" t="s">
        <v>148</v>
      </c>
      <c r="H46" s="4" t="s">
        <v>149</v>
      </c>
      <c r="I46" s="83">
        <v>183.22</v>
      </c>
      <c r="J46" s="76">
        <f t="shared" ca="1" si="11"/>
        <v>7.2984094231619528E-2</v>
      </c>
      <c r="K46" s="4" t="str">
        <f t="shared" si="10"/>
        <v>是</v>
      </c>
      <c r="L46" s="4" t="s">
        <v>12</v>
      </c>
      <c r="M46" s="4"/>
      <c r="N46" s="4" t="s">
        <v>73</v>
      </c>
      <c r="O46" s="8"/>
      <c r="P46" s="84">
        <f t="shared" ca="1" si="12"/>
        <v>23494</v>
      </c>
      <c r="Q46" s="7">
        <v>0</v>
      </c>
      <c r="R46" s="59"/>
    </row>
    <row r="47" spans="1:18">
      <c r="A47" s="58" t="str">
        <f t="shared" si="3"/>
        <v>东北区吉林省白山所</v>
      </c>
      <c r="B47" s="58" t="str">
        <f t="shared" si="5"/>
        <v>标箱组白山所</v>
      </c>
      <c r="C47" s="4">
        <v>7</v>
      </c>
      <c r="D47" s="4" t="s">
        <v>9</v>
      </c>
      <c r="E47" s="4" t="str">
        <f t="shared" si="9"/>
        <v>东北区</v>
      </c>
      <c r="F47" s="4" t="s">
        <v>48</v>
      </c>
      <c r="G47" s="4" t="s">
        <v>148</v>
      </c>
      <c r="H47" s="4" t="s">
        <v>150</v>
      </c>
      <c r="I47" s="83">
        <v>90.62</v>
      </c>
      <c r="J47" s="76">
        <f t="shared" ca="1" si="11"/>
        <v>3.609768922207926E-2</v>
      </c>
      <c r="K47" s="4" t="str">
        <f t="shared" si="10"/>
        <v>是</v>
      </c>
      <c r="L47" s="4" t="s">
        <v>12</v>
      </c>
      <c r="M47" s="4"/>
      <c r="N47" s="4" t="s">
        <v>73</v>
      </c>
      <c r="O47" s="8"/>
      <c r="P47" s="84">
        <f t="shared" ca="1" si="12"/>
        <v>11620</v>
      </c>
      <c r="Q47" s="7">
        <v>0</v>
      </c>
      <c r="R47" s="59"/>
    </row>
    <row r="48" spans="1:18">
      <c r="A48" s="58" t="str">
        <f t="shared" si="3"/>
        <v>东北区吉林省通化所</v>
      </c>
      <c r="B48" s="58" t="str">
        <f t="shared" si="5"/>
        <v>标箱组通化所</v>
      </c>
      <c r="C48" s="4">
        <v>8</v>
      </c>
      <c r="D48" s="4" t="s">
        <v>9</v>
      </c>
      <c r="E48" s="4" t="str">
        <f t="shared" si="9"/>
        <v>东北区</v>
      </c>
      <c r="F48" s="4" t="s">
        <v>48</v>
      </c>
      <c r="G48" s="4" t="s">
        <v>148</v>
      </c>
      <c r="H48" s="4" t="s">
        <v>154</v>
      </c>
      <c r="I48" s="83">
        <v>130.27000000000001</v>
      </c>
      <c r="J48" s="76">
        <f t="shared" ca="1" si="11"/>
        <v>5.1891922036639428E-2</v>
      </c>
      <c r="K48" s="4" t="str">
        <f t="shared" si="10"/>
        <v>是</v>
      </c>
      <c r="L48" s="4" t="s">
        <v>12</v>
      </c>
      <c r="M48" s="4"/>
      <c r="N48" s="4" t="s">
        <v>73</v>
      </c>
      <c r="O48" s="8"/>
      <c r="P48" s="84">
        <f t="shared" ca="1" si="12"/>
        <v>16704</v>
      </c>
      <c r="Q48" s="7">
        <v>0</v>
      </c>
      <c r="R48" s="59"/>
    </row>
    <row r="49" spans="1:18">
      <c r="A49" s="58" t="str">
        <f t="shared" si="3"/>
        <v>东北区吉林省长春东所</v>
      </c>
      <c r="B49" s="58" t="str">
        <f t="shared" si="5"/>
        <v>标箱组长春东所</v>
      </c>
      <c r="C49" s="4">
        <v>9</v>
      </c>
      <c r="D49" s="4" t="s">
        <v>9</v>
      </c>
      <c r="E49" s="4" t="str">
        <f t="shared" si="9"/>
        <v>东北区</v>
      </c>
      <c r="F49" s="4" t="s">
        <v>48</v>
      </c>
      <c r="G49" s="4" t="s">
        <v>148</v>
      </c>
      <c r="H49" s="4" t="s">
        <v>157</v>
      </c>
      <c r="I49" s="83">
        <v>399.09</v>
      </c>
      <c r="J49" s="76">
        <f t="shared" ca="1" si="11"/>
        <v>0.15897403213020977</v>
      </c>
      <c r="K49" s="4" t="str">
        <f t="shared" si="10"/>
        <v>是</v>
      </c>
      <c r="L49" s="4" t="s">
        <v>12</v>
      </c>
      <c r="M49" s="4"/>
      <c r="N49" s="4" t="s">
        <v>73</v>
      </c>
      <c r="O49" s="8"/>
      <c r="P49" s="84">
        <f t="shared" ca="1" si="12"/>
        <v>51174</v>
      </c>
      <c r="Q49" s="7">
        <v>0</v>
      </c>
      <c r="R49" s="59"/>
    </row>
    <row r="50" spans="1:18">
      <c r="A50" s="58" t="str">
        <f t="shared" si="3"/>
        <v>东北区吉林省长春西所</v>
      </c>
      <c r="B50" s="58" t="str">
        <f t="shared" si="5"/>
        <v>标箱组长春西所</v>
      </c>
      <c r="C50" s="4">
        <v>10</v>
      </c>
      <c r="D50" s="4" t="s">
        <v>9</v>
      </c>
      <c r="E50" s="4" t="str">
        <f t="shared" si="9"/>
        <v>东北区</v>
      </c>
      <c r="F50" s="4" t="s">
        <v>48</v>
      </c>
      <c r="G50" s="4" t="s">
        <v>148</v>
      </c>
      <c r="H50" s="4" t="s">
        <v>158</v>
      </c>
      <c r="I50" s="83">
        <v>507.41</v>
      </c>
      <c r="J50" s="76">
        <f t="shared" ca="1" si="11"/>
        <v>0.20212236248262236</v>
      </c>
      <c r="K50" s="4" t="str">
        <f t="shared" si="10"/>
        <v>是</v>
      </c>
      <c r="L50" s="4" t="s">
        <v>12</v>
      </c>
      <c r="M50" s="4"/>
      <c r="N50" s="4" t="s">
        <v>73</v>
      </c>
      <c r="O50" s="8"/>
      <c r="P50" s="84">
        <f t="shared" ca="1" si="12"/>
        <v>65064</v>
      </c>
      <c r="Q50" s="7">
        <v>0</v>
      </c>
      <c r="R50" s="59"/>
    </row>
    <row r="51" spans="1:18">
      <c r="A51" s="58" t="str">
        <f t="shared" si="3"/>
        <v>东北区辽宁省丹东所</v>
      </c>
      <c r="B51" s="58" t="str">
        <f t="shared" si="5"/>
        <v>标箱组丹东所</v>
      </c>
      <c r="C51" s="4">
        <v>11</v>
      </c>
      <c r="D51" s="4" t="s">
        <v>9</v>
      </c>
      <c r="E51" s="4" t="str">
        <f t="shared" si="9"/>
        <v>东北区</v>
      </c>
      <c r="F51" s="4" t="s">
        <v>46</v>
      </c>
      <c r="G51" s="4" t="s">
        <v>159</v>
      </c>
      <c r="H51" s="4" t="s">
        <v>161</v>
      </c>
      <c r="I51" s="83">
        <v>211.6</v>
      </c>
      <c r="J51" s="76">
        <f t="shared" ca="1" si="11"/>
        <v>4.2966386315733893E-2</v>
      </c>
      <c r="K51" s="4" t="str">
        <f t="shared" si="10"/>
        <v>是</v>
      </c>
      <c r="L51" s="61" t="s">
        <v>87</v>
      </c>
      <c r="M51" s="4" t="s">
        <v>11</v>
      </c>
      <c r="N51" s="4" t="s">
        <v>73</v>
      </c>
      <c r="O51" s="8">
        <v>30000</v>
      </c>
      <c r="P51" s="84">
        <f t="shared" ca="1" si="12"/>
        <v>27133</v>
      </c>
      <c r="Q51" s="7">
        <v>0</v>
      </c>
      <c r="R51" s="59"/>
    </row>
    <row r="52" spans="1:18">
      <c r="A52" s="58" t="str">
        <f t="shared" si="3"/>
        <v>东北区辽宁省和平所</v>
      </c>
      <c r="B52" s="58" t="str">
        <f t="shared" si="5"/>
        <v>标箱组和平所</v>
      </c>
      <c r="C52" s="4">
        <v>12</v>
      </c>
      <c r="D52" s="4" t="s">
        <v>9</v>
      </c>
      <c r="E52" s="4" t="str">
        <f t="shared" si="9"/>
        <v>东北区</v>
      </c>
      <c r="F52" s="4" t="s">
        <v>46</v>
      </c>
      <c r="G52" s="4" t="s">
        <v>159</v>
      </c>
      <c r="H52" s="4" t="s">
        <v>163</v>
      </c>
      <c r="I52" s="83">
        <v>212.16</v>
      </c>
      <c r="J52" s="76">
        <f t="shared" ca="1" si="11"/>
        <v>4.3080096978951335E-2</v>
      </c>
      <c r="K52" s="4" t="str">
        <f t="shared" si="10"/>
        <v>是</v>
      </c>
      <c r="L52" s="62" t="s">
        <v>77</v>
      </c>
      <c r="M52" s="4" t="s">
        <v>11</v>
      </c>
      <c r="N52" s="4" t="s">
        <v>73</v>
      </c>
      <c r="O52" s="8">
        <v>20000</v>
      </c>
      <c r="P52" s="84">
        <f t="shared" ca="1" si="12"/>
        <v>27205</v>
      </c>
      <c r="Q52" s="7">
        <v>0</v>
      </c>
      <c r="R52" s="59"/>
    </row>
    <row r="53" spans="1:18">
      <c r="A53" s="58" t="str">
        <f t="shared" si="3"/>
        <v>东北区辽宁省大东所</v>
      </c>
      <c r="B53" s="58" t="str">
        <f t="shared" si="5"/>
        <v>标箱组大东所</v>
      </c>
      <c r="C53" s="4">
        <v>13</v>
      </c>
      <c r="D53" s="4" t="s">
        <v>9</v>
      </c>
      <c r="E53" s="4" t="str">
        <f t="shared" si="9"/>
        <v>东北区</v>
      </c>
      <c r="F53" s="4" t="s">
        <v>46</v>
      </c>
      <c r="G53" s="4" t="s">
        <v>159</v>
      </c>
      <c r="H53" s="4" t="s">
        <v>76</v>
      </c>
      <c r="I53" s="83">
        <v>196.08</v>
      </c>
      <c r="J53" s="76">
        <f t="shared" ca="1" si="11"/>
        <v>3.9814976506564757E-2</v>
      </c>
      <c r="K53" s="4" t="str">
        <f t="shared" si="10"/>
        <v>是</v>
      </c>
      <c r="L53" s="62" t="s">
        <v>77</v>
      </c>
      <c r="M53" s="4" t="s">
        <v>28</v>
      </c>
      <c r="N53" s="4" t="s">
        <v>73</v>
      </c>
      <c r="O53" s="8">
        <v>40000</v>
      </c>
      <c r="P53" s="84">
        <f t="shared" ca="1" si="12"/>
        <v>25143</v>
      </c>
      <c r="Q53" s="7">
        <v>120000</v>
      </c>
      <c r="R53" s="59"/>
    </row>
    <row r="54" spans="1:18">
      <c r="A54" s="58" t="str">
        <f t="shared" si="3"/>
        <v>东北区辽宁省抚顺所</v>
      </c>
      <c r="B54" s="58" t="str">
        <f t="shared" si="5"/>
        <v>标箱组抚顺所</v>
      </c>
      <c r="C54" s="4">
        <v>14</v>
      </c>
      <c r="D54" s="4" t="s">
        <v>9</v>
      </c>
      <c r="E54" s="4" t="str">
        <f t="shared" si="9"/>
        <v>东北区</v>
      </c>
      <c r="F54" s="4" t="s">
        <v>46</v>
      </c>
      <c r="G54" s="4" t="s">
        <v>159</v>
      </c>
      <c r="H54" s="4" t="s">
        <v>162</v>
      </c>
      <c r="I54" s="83">
        <v>199.3</v>
      </c>
      <c r="J54" s="76">
        <f t="shared" ca="1" si="11"/>
        <v>4.0468812820065057E-2</v>
      </c>
      <c r="K54" s="4" t="str">
        <f t="shared" si="10"/>
        <v>是</v>
      </c>
      <c r="L54" s="62" t="s">
        <v>79</v>
      </c>
      <c r="M54" s="4" t="s">
        <v>11</v>
      </c>
      <c r="N54" s="4" t="s">
        <v>73</v>
      </c>
      <c r="O54" s="8">
        <v>15000</v>
      </c>
      <c r="P54" s="84">
        <f t="shared" ca="1" si="12"/>
        <v>25556</v>
      </c>
      <c r="Q54" s="7">
        <v>0</v>
      </c>
      <c r="R54" s="59"/>
    </row>
    <row r="55" spans="1:18">
      <c r="A55" s="58" t="str">
        <f t="shared" si="3"/>
        <v>东北区辽宁省本溪所</v>
      </c>
      <c r="B55" s="58" t="str">
        <f t="shared" si="5"/>
        <v>标箱组本溪所</v>
      </c>
      <c r="C55" s="4">
        <v>15</v>
      </c>
      <c r="D55" s="4" t="s">
        <v>9</v>
      </c>
      <c r="E55" s="4" t="str">
        <f t="shared" si="9"/>
        <v>东北区</v>
      </c>
      <c r="F55" s="4" t="s">
        <v>46</v>
      </c>
      <c r="G55" s="4" t="s">
        <v>159</v>
      </c>
      <c r="H55" s="4" t="s">
        <v>160</v>
      </c>
      <c r="I55" s="83">
        <v>126.69</v>
      </c>
      <c r="J55" s="76">
        <f t="shared" ca="1" si="11"/>
        <v>2.5725007005389069E-2</v>
      </c>
      <c r="K55" s="4" t="str">
        <f t="shared" si="10"/>
        <v>是</v>
      </c>
      <c r="L55" s="62" t="s">
        <v>83</v>
      </c>
      <c r="M55" s="4" t="s">
        <v>11</v>
      </c>
      <c r="N55" s="4" t="s">
        <v>73</v>
      </c>
      <c r="O55" s="8">
        <v>30000</v>
      </c>
      <c r="P55" s="84">
        <f t="shared" ca="1" si="12"/>
        <v>16245</v>
      </c>
      <c r="Q55" s="7">
        <v>0</v>
      </c>
      <c r="R55" s="59"/>
    </row>
    <row r="56" spans="1:18">
      <c r="A56" s="58" t="str">
        <f t="shared" si="3"/>
        <v>东北区辽宁省沈河所</v>
      </c>
      <c r="B56" s="58" t="str">
        <f t="shared" si="5"/>
        <v>标箱组沈河所</v>
      </c>
      <c r="C56" s="4">
        <v>16</v>
      </c>
      <c r="D56" s="4" t="s">
        <v>9</v>
      </c>
      <c r="E56" s="4" t="str">
        <f t="shared" si="9"/>
        <v>东北区</v>
      </c>
      <c r="F56" s="4" t="s">
        <v>46</v>
      </c>
      <c r="G56" s="4" t="s">
        <v>159</v>
      </c>
      <c r="H56" s="4" t="s">
        <v>165</v>
      </c>
      <c r="I56" s="83">
        <v>216.27</v>
      </c>
      <c r="J56" s="76">
        <f t="shared" ca="1" si="11"/>
        <v>4.3914652025065073E-2</v>
      </c>
      <c r="K56" s="4" t="str">
        <f t="shared" si="10"/>
        <v>是</v>
      </c>
      <c r="L56" s="62" t="s">
        <v>77</v>
      </c>
      <c r="M56" s="4" t="s">
        <v>11</v>
      </c>
      <c r="N56" s="4" t="s">
        <v>73</v>
      </c>
      <c r="O56" s="8">
        <v>20000</v>
      </c>
      <c r="P56" s="84">
        <f t="shared" ca="1" si="12"/>
        <v>27732</v>
      </c>
      <c r="Q56" s="7">
        <v>0</v>
      </c>
      <c r="R56" s="59"/>
    </row>
    <row r="57" spans="1:18">
      <c r="A57" s="58" t="str">
        <f t="shared" si="3"/>
        <v>东北区辽宁省沈阳所</v>
      </c>
      <c r="B57" s="58" t="str">
        <f t="shared" si="5"/>
        <v>标箱组沈阳所</v>
      </c>
      <c r="C57" s="4">
        <v>17</v>
      </c>
      <c r="D57" s="4" t="s">
        <v>9</v>
      </c>
      <c r="E57" s="4" t="str">
        <f t="shared" si="9"/>
        <v>东北区</v>
      </c>
      <c r="F57" s="4" t="s">
        <v>46</v>
      </c>
      <c r="G57" s="4" t="s">
        <v>159</v>
      </c>
      <c r="H57" s="4" t="s">
        <v>166</v>
      </c>
      <c r="I57" s="83">
        <v>290.17</v>
      </c>
      <c r="J57" s="76">
        <f t="shared" ca="1" si="11"/>
        <v>5.892039847465267E-2</v>
      </c>
      <c r="K57" s="4" t="str">
        <f t="shared" si="10"/>
        <v>是</v>
      </c>
      <c r="L57" s="62" t="s">
        <v>77</v>
      </c>
      <c r="M57" s="4" t="s">
        <v>11</v>
      </c>
      <c r="N57" s="4" t="s">
        <v>73</v>
      </c>
      <c r="O57" s="8">
        <v>40000</v>
      </c>
      <c r="P57" s="84">
        <f t="shared" ca="1" si="12"/>
        <v>37208</v>
      </c>
      <c r="Q57" s="7">
        <v>0</v>
      </c>
      <c r="R57" s="59"/>
    </row>
    <row r="58" spans="1:18">
      <c r="A58" s="58" t="str">
        <f t="shared" si="3"/>
        <v>东北区辽宁省辽阳所</v>
      </c>
      <c r="B58" s="58" t="str">
        <f t="shared" si="5"/>
        <v>标箱组辽阳所</v>
      </c>
      <c r="C58" s="4">
        <v>18</v>
      </c>
      <c r="D58" s="4" t="s">
        <v>9</v>
      </c>
      <c r="E58" s="4" t="str">
        <f t="shared" si="9"/>
        <v>东北区</v>
      </c>
      <c r="F58" s="4" t="s">
        <v>46</v>
      </c>
      <c r="G58" s="4" t="s">
        <v>159</v>
      </c>
      <c r="H58" s="4" t="s">
        <v>164</v>
      </c>
      <c r="I58" s="83">
        <v>154.30000000000001</v>
      </c>
      <c r="J58" s="76">
        <f t="shared" ca="1" si="11"/>
        <v>3.1331348811520512E-2</v>
      </c>
      <c r="K58" s="4" t="str">
        <f t="shared" si="10"/>
        <v>是</v>
      </c>
      <c r="L58" s="62" t="s">
        <v>83</v>
      </c>
      <c r="M58" s="4" t="s">
        <v>11</v>
      </c>
      <c r="N58" s="4" t="s">
        <v>73</v>
      </c>
      <c r="O58" s="8">
        <v>15000</v>
      </c>
      <c r="P58" s="84">
        <f t="shared" ca="1" si="12"/>
        <v>19786</v>
      </c>
      <c r="Q58" s="7">
        <v>0</v>
      </c>
      <c r="R58" s="59"/>
    </row>
    <row r="59" spans="1:18">
      <c r="A59" s="58" t="str">
        <f t="shared" si="3"/>
        <v>东北区辽宁省通辽所</v>
      </c>
      <c r="B59" s="58" t="str">
        <f t="shared" si="5"/>
        <v>标箱组通辽所</v>
      </c>
      <c r="C59" s="4">
        <v>19</v>
      </c>
      <c r="D59" s="4" t="s">
        <v>9</v>
      </c>
      <c r="E59" s="4" t="str">
        <f t="shared" si="9"/>
        <v>东北区</v>
      </c>
      <c r="F59" s="4" t="s">
        <v>46</v>
      </c>
      <c r="G59" s="4" t="s">
        <v>159</v>
      </c>
      <c r="H59" s="4" t="s">
        <v>78</v>
      </c>
      <c r="I59" s="83">
        <v>283.5</v>
      </c>
      <c r="J59" s="76">
        <f t="shared" ca="1" si="11"/>
        <v>5.7566023253830617E-2</v>
      </c>
      <c r="K59" s="4" t="str">
        <f t="shared" si="10"/>
        <v>是</v>
      </c>
      <c r="L59" s="62" t="s">
        <v>79</v>
      </c>
      <c r="M59" s="4" t="s">
        <v>28</v>
      </c>
      <c r="N59" s="4" t="s">
        <v>73</v>
      </c>
      <c r="O59" s="8">
        <v>60000</v>
      </c>
      <c r="P59" s="84">
        <f t="shared" ca="1" si="12"/>
        <v>36353</v>
      </c>
      <c r="Q59" s="7">
        <v>132500</v>
      </c>
      <c r="R59" s="59"/>
    </row>
    <row r="60" spans="1:18">
      <c r="A60" s="58" t="str">
        <f t="shared" si="3"/>
        <v>东北区辽宁省铁岭所</v>
      </c>
      <c r="B60" s="58" t="str">
        <f t="shared" si="5"/>
        <v>标箱组铁岭所</v>
      </c>
      <c r="C60" s="4">
        <v>20</v>
      </c>
      <c r="D60" s="4" t="s">
        <v>9</v>
      </c>
      <c r="E60" s="4" t="str">
        <f t="shared" si="9"/>
        <v>东北区</v>
      </c>
      <c r="F60" s="4" t="s">
        <v>46</v>
      </c>
      <c r="G60" s="4" t="s">
        <v>159</v>
      </c>
      <c r="H60" s="4" t="s">
        <v>167</v>
      </c>
      <c r="I60" s="83">
        <v>232.89</v>
      </c>
      <c r="J60" s="76">
        <f t="shared" ca="1" si="11"/>
        <v>4.7289422065554192E-2</v>
      </c>
      <c r="K60" s="4" t="str">
        <f t="shared" si="10"/>
        <v>是</v>
      </c>
      <c r="L60" s="62" t="s">
        <v>79</v>
      </c>
      <c r="M60" s="4" t="s">
        <v>11</v>
      </c>
      <c r="N60" s="4" t="s">
        <v>73</v>
      </c>
      <c r="O60" s="8">
        <v>30000</v>
      </c>
      <c r="P60" s="84">
        <f t="shared" ca="1" si="12"/>
        <v>29863</v>
      </c>
      <c r="Q60" s="7">
        <v>0</v>
      </c>
      <c r="R60" s="59"/>
    </row>
    <row r="61" spans="1:18">
      <c r="A61" s="58" t="str">
        <f t="shared" si="3"/>
        <v>东北区辽宁省大连所</v>
      </c>
      <c r="B61" s="58" t="str">
        <f t="shared" si="5"/>
        <v>标箱组大连所</v>
      </c>
      <c r="C61" s="4">
        <v>21</v>
      </c>
      <c r="D61" s="4" t="s">
        <v>9</v>
      </c>
      <c r="E61" s="4" t="str">
        <f t="shared" si="9"/>
        <v>东北区</v>
      </c>
      <c r="F61" s="4" t="s">
        <v>46</v>
      </c>
      <c r="G61" s="4" t="s">
        <v>168</v>
      </c>
      <c r="H61" s="4" t="s">
        <v>170</v>
      </c>
      <c r="I61" s="83">
        <v>286.91000000000003</v>
      </c>
      <c r="J61" s="76">
        <f t="shared" ca="1" si="11"/>
        <v>5.825843997092256E-2</v>
      </c>
      <c r="K61" s="4" t="str">
        <f t="shared" si="10"/>
        <v>是</v>
      </c>
      <c r="L61" s="62" t="s">
        <v>87</v>
      </c>
      <c r="M61" s="4" t="s">
        <v>11</v>
      </c>
      <c r="N61" s="4" t="s">
        <v>73</v>
      </c>
      <c r="O61" s="8">
        <v>45000</v>
      </c>
      <c r="P61" s="84">
        <f t="shared" ca="1" si="12"/>
        <v>36790</v>
      </c>
      <c r="Q61" s="7">
        <v>0</v>
      </c>
      <c r="R61" s="59"/>
    </row>
    <row r="62" spans="1:18">
      <c r="A62" s="58" t="str">
        <f t="shared" si="3"/>
        <v>东北区辽宁省朝阳所</v>
      </c>
      <c r="B62" s="58" t="str">
        <f t="shared" si="5"/>
        <v>标箱组朝阳所</v>
      </c>
      <c r="C62" s="4">
        <v>22</v>
      </c>
      <c r="D62" s="4" t="s">
        <v>9</v>
      </c>
      <c r="E62" s="4" t="str">
        <f t="shared" si="9"/>
        <v>东北区</v>
      </c>
      <c r="F62" s="4" t="s">
        <v>46</v>
      </c>
      <c r="G62" s="4" t="s">
        <v>168</v>
      </c>
      <c r="H62" s="4" t="s">
        <v>169</v>
      </c>
      <c r="I62" s="83">
        <v>279.81</v>
      </c>
      <c r="J62" s="76">
        <f t="shared" ca="1" si="11"/>
        <v>5.6816751205129967E-2</v>
      </c>
      <c r="K62" s="4" t="str">
        <f t="shared" si="10"/>
        <v>是</v>
      </c>
      <c r="L62" s="62" t="s">
        <v>81</v>
      </c>
      <c r="M62" s="4" t="s">
        <v>11</v>
      </c>
      <c r="N62" s="4" t="s">
        <v>73</v>
      </c>
      <c r="O62" s="8">
        <v>45000</v>
      </c>
      <c r="P62" s="84">
        <f t="shared" ca="1" si="12"/>
        <v>35879</v>
      </c>
      <c r="Q62" s="7">
        <v>0</v>
      </c>
      <c r="R62" s="59"/>
    </row>
    <row r="63" spans="1:18">
      <c r="A63" s="58" t="str">
        <f t="shared" si="3"/>
        <v>东北区辽宁省盘锦所</v>
      </c>
      <c r="B63" s="58" t="str">
        <f t="shared" si="5"/>
        <v>标箱组盘锦所</v>
      </c>
      <c r="C63" s="4">
        <v>23</v>
      </c>
      <c r="D63" s="4" t="s">
        <v>9</v>
      </c>
      <c r="E63" s="4" t="str">
        <f t="shared" si="9"/>
        <v>东北区</v>
      </c>
      <c r="F63" s="4" t="s">
        <v>46</v>
      </c>
      <c r="G63" s="4" t="s">
        <v>168</v>
      </c>
      <c r="H63" s="4" t="s">
        <v>173</v>
      </c>
      <c r="I63" s="83">
        <v>139</v>
      </c>
      <c r="J63" s="76">
        <f t="shared" ca="1" si="11"/>
        <v>2.8224611048615365E-2</v>
      </c>
      <c r="K63" s="4" t="str">
        <f t="shared" si="10"/>
        <v>是</v>
      </c>
      <c r="L63" s="62" t="s">
        <v>87</v>
      </c>
      <c r="M63" s="4" t="s">
        <v>11</v>
      </c>
      <c r="N63" s="4" t="s">
        <v>73</v>
      </c>
      <c r="O63" s="8">
        <v>30000</v>
      </c>
      <c r="P63" s="84">
        <f t="shared" ca="1" si="12"/>
        <v>17824</v>
      </c>
      <c r="Q63" s="7">
        <v>0</v>
      </c>
      <c r="R63" s="59"/>
    </row>
    <row r="64" spans="1:18">
      <c r="A64" s="58" t="str">
        <f t="shared" si="3"/>
        <v>东北区辽宁省营口所</v>
      </c>
      <c r="B64" s="58" t="str">
        <f t="shared" si="5"/>
        <v>标箱组营口所</v>
      </c>
      <c r="C64" s="4">
        <v>24</v>
      </c>
      <c r="D64" s="4" t="s">
        <v>9</v>
      </c>
      <c r="E64" s="4" t="str">
        <f t="shared" si="9"/>
        <v>东北区</v>
      </c>
      <c r="F64" s="4" t="s">
        <v>46</v>
      </c>
      <c r="G64" s="4" t="s">
        <v>168</v>
      </c>
      <c r="H64" s="4" t="s">
        <v>174</v>
      </c>
      <c r="I64" s="83">
        <v>228.61</v>
      </c>
      <c r="J64" s="76">
        <f t="shared" ca="1" si="11"/>
        <v>4.6420347710963733E-2</v>
      </c>
      <c r="K64" s="4" t="str">
        <f t="shared" si="10"/>
        <v>是</v>
      </c>
      <c r="L64" s="62" t="s">
        <v>83</v>
      </c>
      <c r="M64" s="4" t="s">
        <v>11</v>
      </c>
      <c r="N64" s="4" t="s">
        <v>73</v>
      </c>
      <c r="O64" s="8">
        <v>15000</v>
      </c>
      <c r="P64" s="84">
        <f t="shared" ca="1" si="12"/>
        <v>29314</v>
      </c>
      <c r="Q64" s="7">
        <v>0</v>
      </c>
      <c r="R64" s="59"/>
    </row>
    <row r="65" spans="1:18">
      <c r="A65" s="58" t="str">
        <f t="shared" si="3"/>
        <v>东北区辽宁省葫芦岛所</v>
      </c>
      <c r="B65" s="58" t="str">
        <f t="shared" si="5"/>
        <v>标箱组葫芦岛所</v>
      </c>
      <c r="C65" s="4">
        <v>25</v>
      </c>
      <c r="D65" s="4" t="s">
        <v>9</v>
      </c>
      <c r="E65" s="4" t="str">
        <f t="shared" si="9"/>
        <v>东北区</v>
      </c>
      <c r="F65" s="4" t="s">
        <v>46</v>
      </c>
      <c r="G65" s="4" t="s">
        <v>168</v>
      </c>
      <c r="H65" s="4" t="s">
        <v>172</v>
      </c>
      <c r="I65" s="83">
        <v>236</v>
      </c>
      <c r="J65" s="76">
        <f t="shared" ca="1" si="11"/>
        <v>4.7920922355922491E-2</v>
      </c>
      <c r="K65" s="4" t="str">
        <f t="shared" si="10"/>
        <v>是</v>
      </c>
      <c r="L65" s="62" t="s">
        <v>85</v>
      </c>
      <c r="M65" s="4" t="s">
        <v>11</v>
      </c>
      <c r="N65" s="4" t="s">
        <v>73</v>
      </c>
      <c r="O65" s="8">
        <v>50000</v>
      </c>
      <c r="P65" s="84">
        <f t="shared" ca="1" si="12"/>
        <v>30262</v>
      </c>
      <c r="Q65" s="7">
        <v>0</v>
      </c>
      <c r="R65" s="59"/>
    </row>
    <row r="66" spans="1:18">
      <c r="A66" s="58" t="str">
        <f t="shared" si="3"/>
        <v>东北区辽宁省赤峰所</v>
      </c>
      <c r="B66" s="58" t="str">
        <f t="shared" si="5"/>
        <v>标箱组赤峰所</v>
      </c>
      <c r="C66" s="4">
        <v>26</v>
      </c>
      <c r="D66" s="4" t="s">
        <v>9</v>
      </c>
      <c r="E66" s="4" t="str">
        <f t="shared" si="9"/>
        <v>东北区</v>
      </c>
      <c r="F66" s="4" t="s">
        <v>46</v>
      </c>
      <c r="G66" s="4" t="s">
        <v>168</v>
      </c>
      <c r="H66" s="4" t="s">
        <v>80</v>
      </c>
      <c r="I66" s="83">
        <v>400.1</v>
      </c>
      <c r="J66" s="76">
        <f t="shared" ca="1" si="11"/>
        <v>8.1242207773748257E-2</v>
      </c>
      <c r="K66" s="4" t="str">
        <f t="shared" si="10"/>
        <v>是</v>
      </c>
      <c r="L66" s="62" t="s">
        <v>81</v>
      </c>
      <c r="M66" s="4" t="s">
        <v>28</v>
      </c>
      <c r="N66" s="4" t="s">
        <v>73</v>
      </c>
      <c r="O66" s="8">
        <v>70000</v>
      </c>
      <c r="P66" s="84">
        <f t="shared" ca="1" si="12"/>
        <v>51304</v>
      </c>
      <c r="Q66" s="7">
        <v>142500</v>
      </c>
      <c r="R66" s="59"/>
    </row>
    <row r="67" spans="1:18">
      <c r="A67" s="58" t="str">
        <f t="shared" si="3"/>
        <v>东北区辽宁省金州所</v>
      </c>
      <c r="B67" s="58" t="str">
        <f t="shared" si="5"/>
        <v>标箱组金州所</v>
      </c>
      <c r="C67" s="4">
        <v>27</v>
      </c>
      <c r="D67" s="4" t="s">
        <v>9</v>
      </c>
      <c r="E67" s="4" t="str">
        <f t="shared" si="9"/>
        <v>东北区</v>
      </c>
      <c r="F67" s="4" t="s">
        <v>46</v>
      </c>
      <c r="G67" s="4" t="s">
        <v>168</v>
      </c>
      <c r="H67" s="4" t="s">
        <v>82</v>
      </c>
      <c r="I67" s="83">
        <v>466.19</v>
      </c>
      <c r="J67" s="76">
        <f t="shared" ca="1" si="11"/>
        <v>9.4662096580964014E-2</v>
      </c>
      <c r="K67" s="4" t="str">
        <f t="shared" si="10"/>
        <v>是</v>
      </c>
      <c r="L67" s="62" t="s">
        <v>83</v>
      </c>
      <c r="M67" s="4" t="s">
        <v>28</v>
      </c>
      <c r="N67" s="4" t="s">
        <v>73</v>
      </c>
      <c r="O67" s="8">
        <v>55000</v>
      </c>
      <c r="P67" s="84">
        <f t="shared" ca="1" si="12"/>
        <v>59778</v>
      </c>
      <c r="Q67" s="7">
        <v>127500</v>
      </c>
      <c r="R67" s="59"/>
    </row>
    <row r="68" spans="1:18">
      <c r="A68" s="58" t="str">
        <f t="shared" ref="A68:A131" si="13">E68&amp;F68&amp;H68</f>
        <v>东北区辽宁省锦州所</v>
      </c>
      <c r="B68" s="58" t="str">
        <f t="shared" si="5"/>
        <v>标箱组锦州所</v>
      </c>
      <c r="C68" s="4">
        <v>28</v>
      </c>
      <c r="D68" s="4" t="s">
        <v>9</v>
      </c>
      <c r="E68" s="4" t="str">
        <f t="shared" si="9"/>
        <v>东北区</v>
      </c>
      <c r="F68" s="4" t="s">
        <v>46</v>
      </c>
      <c r="G68" s="4" t="s">
        <v>168</v>
      </c>
      <c r="H68" s="4" t="s">
        <v>84</v>
      </c>
      <c r="I68" s="83">
        <v>263.10000000000002</v>
      </c>
      <c r="J68" s="76">
        <f t="shared" ca="1" si="11"/>
        <v>5.3423706236623764E-2</v>
      </c>
      <c r="K68" s="4" t="str">
        <f t="shared" si="10"/>
        <v>是</v>
      </c>
      <c r="L68" s="62" t="s">
        <v>85</v>
      </c>
      <c r="M68" s="4" t="s">
        <v>28</v>
      </c>
      <c r="N68" s="4" t="s">
        <v>73</v>
      </c>
      <c r="O68" s="8">
        <v>60000</v>
      </c>
      <c r="P68" s="84">
        <f t="shared" ca="1" si="12"/>
        <v>33737</v>
      </c>
      <c r="Q68" s="7">
        <v>132500</v>
      </c>
      <c r="R68" s="59"/>
    </row>
    <row r="69" spans="1:18">
      <c r="A69" s="58" t="str">
        <f t="shared" si="13"/>
        <v>东北区辽宁省阜新所</v>
      </c>
      <c r="B69" s="58" t="str">
        <f t="shared" si="5"/>
        <v>标箱组阜新所</v>
      </c>
      <c r="C69" s="4">
        <v>29</v>
      </c>
      <c r="D69" s="4" t="s">
        <v>9</v>
      </c>
      <c r="E69" s="4" t="str">
        <f t="shared" si="9"/>
        <v>东北区</v>
      </c>
      <c r="F69" s="4" t="s">
        <v>46</v>
      </c>
      <c r="G69" s="4" t="s">
        <v>168</v>
      </c>
      <c r="H69" s="4" t="s">
        <v>171</v>
      </c>
      <c r="I69" s="83">
        <v>173.89</v>
      </c>
      <c r="J69" s="76">
        <f t="shared" ca="1" si="11"/>
        <v>3.5309191476573562E-2</v>
      </c>
      <c r="K69" s="4" t="str">
        <f t="shared" si="10"/>
        <v>是</v>
      </c>
      <c r="L69" s="62" t="s">
        <v>81</v>
      </c>
      <c r="M69" s="4" t="s">
        <v>11</v>
      </c>
      <c r="N69" s="4" t="s">
        <v>73</v>
      </c>
      <c r="O69" s="8">
        <v>0</v>
      </c>
      <c r="P69" s="84">
        <f t="shared" ca="1" si="12"/>
        <v>22298</v>
      </c>
      <c r="Q69" s="7">
        <v>0</v>
      </c>
      <c r="R69" s="59"/>
    </row>
    <row r="70" spans="1:18">
      <c r="A70" s="58" t="str">
        <f t="shared" si="13"/>
        <v>东北区辽宁省鞍山所</v>
      </c>
      <c r="B70" s="58" t="str">
        <f t="shared" si="5"/>
        <v>标箱组鞍山所</v>
      </c>
      <c r="C70" s="4">
        <v>30</v>
      </c>
      <c r="D70" s="4" t="s">
        <v>9</v>
      </c>
      <c r="E70" s="4" t="str">
        <f t="shared" si="9"/>
        <v>东北区</v>
      </c>
      <c r="F70" s="4" t="s">
        <v>46</v>
      </c>
      <c r="G70" s="4" t="s">
        <v>168</v>
      </c>
      <c r="H70" s="4" t="s">
        <v>86</v>
      </c>
      <c r="I70" s="83">
        <v>328.21</v>
      </c>
      <c r="J70" s="76">
        <f t="shared" ca="1" si="11"/>
        <v>6.6644601383208976E-2</v>
      </c>
      <c r="K70" s="4" t="str">
        <f t="shared" si="10"/>
        <v>是</v>
      </c>
      <c r="L70" s="62" t="s">
        <v>87</v>
      </c>
      <c r="M70" s="4" t="s">
        <v>28</v>
      </c>
      <c r="N70" s="4" t="s">
        <v>73</v>
      </c>
      <c r="O70" s="8">
        <v>30000</v>
      </c>
      <c r="P70" s="84">
        <f t="shared" ca="1" si="12"/>
        <v>42086</v>
      </c>
      <c r="Q70" s="7">
        <v>102500</v>
      </c>
      <c r="R70" s="59"/>
    </row>
    <row r="71" spans="1:18">
      <c r="A71" s="58" t="str">
        <f t="shared" si="13"/>
        <v>东北区黑龙江省佳木斯所</v>
      </c>
      <c r="B71" s="58" t="str">
        <f t="shared" si="5"/>
        <v>标箱组佳木斯所</v>
      </c>
      <c r="C71" s="4">
        <v>31</v>
      </c>
      <c r="D71" s="4" t="s">
        <v>9</v>
      </c>
      <c r="E71" s="4" t="str">
        <f t="shared" si="9"/>
        <v>东北区</v>
      </c>
      <c r="F71" s="4" t="s">
        <v>49</v>
      </c>
      <c r="G71" s="4" t="s">
        <v>137</v>
      </c>
      <c r="H71" s="4" t="s">
        <v>143</v>
      </c>
      <c r="I71" s="83">
        <v>314.72000000000003</v>
      </c>
      <c r="J71" s="76">
        <f t="shared" ca="1" si="11"/>
        <v>9.0361739819517714E-2</v>
      </c>
      <c r="K71" s="4" t="str">
        <f t="shared" si="10"/>
        <v>是</v>
      </c>
      <c r="L71" s="4" t="s">
        <v>12</v>
      </c>
      <c r="M71" s="4"/>
      <c r="N71" s="4" t="s">
        <v>73</v>
      </c>
      <c r="O71" s="8"/>
      <c r="P71" s="84">
        <f t="shared" ca="1" si="12"/>
        <v>40356</v>
      </c>
      <c r="Q71" s="7">
        <v>0</v>
      </c>
      <c r="R71" s="59"/>
    </row>
    <row r="72" spans="1:18">
      <c r="A72" s="58" t="str">
        <f t="shared" si="13"/>
        <v>东北区黑龙江省双鸭山所</v>
      </c>
      <c r="B72" s="58" t="str">
        <f t="shared" si="5"/>
        <v>标箱组双鸭山所</v>
      </c>
      <c r="C72" s="4">
        <v>32</v>
      </c>
      <c r="D72" s="4" t="s">
        <v>9</v>
      </c>
      <c r="E72" s="4" t="str">
        <f t="shared" si="9"/>
        <v>东北区</v>
      </c>
      <c r="F72" s="4" t="s">
        <v>49</v>
      </c>
      <c r="G72" s="4" t="s">
        <v>137</v>
      </c>
      <c r="H72" s="4" t="s">
        <v>146</v>
      </c>
      <c r="I72" s="83">
        <v>117</v>
      </c>
      <c r="J72" s="76">
        <f t="shared" ca="1" si="11"/>
        <v>3.3592792192690554E-2</v>
      </c>
      <c r="K72" s="4" t="str">
        <f t="shared" si="10"/>
        <v>是</v>
      </c>
      <c r="L72" s="4" t="s">
        <v>12</v>
      </c>
      <c r="M72" s="4"/>
      <c r="N72" s="4" t="s">
        <v>73</v>
      </c>
      <c r="O72" s="8"/>
      <c r="P72" s="84">
        <f t="shared" ca="1" si="12"/>
        <v>15003</v>
      </c>
      <c r="Q72" s="7">
        <v>0</v>
      </c>
      <c r="R72" s="59"/>
    </row>
    <row r="73" spans="1:18">
      <c r="A73" s="58" t="str">
        <f t="shared" si="13"/>
        <v>东北区黑龙江省呼伦贝尔所</v>
      </c>
      <c r="B73" s="58" t="str">
        <f t="shared" si="5"/>
        <v>标箱组呼伦贝尔所</v>
      </c>
      <c r="C73" s="4">
        <v>33</v>
      </c>
      <c r="D73" s="4" t="s">
        <v>9</v>
      </c>
      <c r="E73" s="4" t="str">
        <f t="shared" si="9"/>
        <v>东北区</v>
      </c>
      <c r="F73" s="4" t="s">
        <v>49</v>
      </c>
      <c r="G73" s="4" t="s">
        <v>137</v>
      </c>
      <c r="H73" s="4" t="s">
        <v>141</v>
      </c>
      <c r="I73" s="83">
        <v>219.11</v>
      </c>
      <c r="J73" s="76">
        <f t="shared" ca="1" si="11"/>
        <v>6.2910399122567753E-2</v>
      </c>
      <c r="K73" s="4" t="str">
        <f t="shared" si="10"/>
        <v>是</v>
      </c>
      <c r="L73" s="4" t="s">
        <v>12</v>
      </c>
      <c r="M73" s="4"/>
      <c r="N73" s="4" t="s">
        <v>73</v>
      </c>
      <c r="O73" s="8"/>
      <c r="P73" s="84">
        <f t="shared" ca="1" si="12"/>
        <v>28096</v>
      </c>
      <c r="Q73" s="7">
        <v>0</v>
      </c>
      <c r="R73" s="59"/>
    </row>
    <row r="74" spans="1:18">
      <c r="A74" s="58" t="str">
        <f t="shared" si="13"/>
        <v>东北区黑龙江省哈尔滨东所</v>
      </c>
      <c r="B74" s="58" t="str">
        <f t="shared" ref="B74:B137" si="14">IF(N74="省区总监",D74&amp;F74,D74&amp;H74)</f>
        <v>标箱组哈尔滨东所</v>
      </c>
      <c r="C74" s="4">
        <v>34</v>
      </c>
      <c r="D74" s="4" t="s">
        <v>9</v>
      </c>
      <c r="E74" s="4" t="str">
        <f t="shared" si="9"/>
        <v>东北区</v>
      </c>
      <c r="F74" s="4" t="s">
        <v>49</v>
      </c>
      <c r="G74" s="4" t="s">
        <v>137</v>
      </c>
      <c r="H74" s="4" t="s">
        <v>139</v>
      </c>
      <c r="I74" s="83">
        <v>511.8</v>
      </c>
      <c r="J74" s="76">
        <f t="shared" ca="1" si="11"/>
        <v>0.146946932001872</v>
      </c>
      <c r="K74" s="4" t="str">
        <f t="shared" si="10"/>
        <v>是</v>
      </c>
      <c r="L74" s="4" t="s">
        <v>89</v>
      </c>
      <c r="M74" s="4" t="s">
        <v>11</v>
      </c>
      <c r="N74" s="4" t="s">
        <v>73</v>
      </c>
      <c r="O74" s="8">
        <v>105000</v>
      </c>
      <c r="P74" s="84">
        <f t="shared" ca="1" si="12"/>
        <v>65627</v>
      </c>
      <c r="Q74" s="7">
        <v>0</v>
      </c>
      <c r="R74" s="59"/>
    </row>
    <row r="75" spans="1:18">
      <c r="A75" s="58" t="str">
        <f t="shared" si="13"/>
        <v>东北区黑龙江省哈尔滨西所</v>
      </c>
      <c r="B75" s="58" t="str">
        <f t="shared" si="14"/>
        <v>标箱组哈尔滨西所</v>
      </c>
      <c r="C75" s="4">
        <v>35</v>
      </c>
      <c r="D75" s="4" t="s">
        <v>9</v>
      </c>
      <c r="E75" s="4" t="str">
        <f t="shared" si="9"/>
        <v>东北区</v>
      </c>
      <c r="F75" s="4" t="s">
        <v>49</v>
      </c>
      <c r="G75" s="4" t="s">
        <v>137</v>
      </c>
      <c r="H75" s="4" t="s">
        <v>88</v>
      </c>
      <c r="I75" s="83">
        <v>476.7</v>
      </c>
      <c r="J75" s="76">
        <f t="shared" ca="1" si="11"/>
        <v>0.13686909434406486</v>
      </c>
      <c r="K75" s="4" t="str">
        <f t="shared" si="10"/>
        <v>是</v>
      </c>
      <c r="L75" s="4" t="s">
        <v>89</v>
      </c>
      <c r="M75" s="4" t="s">
        <v>28</v>
      </c>
      <c r="N75" s="4" t="s">
        <v>73</v>
      </c>
      <c r="O75" s="8">
        <v>150000</v>
      </c>
      <c r="P75" s="84">
        <f t="shared" ca="1" si="12"/>
        <v>61126</v>
      </c>
      <c r="Q75" s="7">
        <v>650000</v>
      </c>
      <c r="R75" s="59"/>
    </row>
    <row r="76" spans="1:18">
      <c r="A76" s="58" t="str">
        <f t="shared" si="13"/>
        <v>东北区黑龙江省大庆所</v>
      </c>
      <c r="B76" s="58" t="str">
        <f t="shared" si="14"/>
        <v>标箱组大庆所</v>
      </c>
      <c r="C76" s="4">
        <v>36</v>
      </c>
      <c r="D76" s="4" t="s">
        <v>9</v>
      </c>
      <c r="E76" s="4" t="str">
        <f t="shared" si="9"/>
        <v>东北区</v>
      </c>
      <c r="F76" s="4" t="s">
        <v>49</v>
      </c>
      <c r="G76" s="4" t="s">
        <v>137</v>
      </c>
      <c r="H76" s="4" t="s">
        <v>138</v>
      </c>
      <c r="I76" s="83">
        <v>272.69</v>
      </c>
      <c r="J76" s="76">
        <f t="shared" ca="1" si="11"/>
        <v>7.8294175239528099E-2</v>
      </c>
      <c r="K76" s="4" t="str">
        <f t="shared" si="10"/>
        <v>是</v>
      </c>
      <c r="L76" s="4" t="s">
        <v>12</v>
      </c>
      <c r="M76" s="4"/>
      <c r="N76" s="4" t="s">
        <v>73</v>
      </c>
      <c r="O76" s="8"/>
      <c r="P76" s="84">
        <f t="shared" ca="1" si="12"/>
        <v>34966</v>
      </c>
      <c r="Q76" s="7">
        <v>0</v>
      </c>
      <c r="R76" s="59"/>
    </row>
    <row r="77" spans="1:18">
      <c r="A77" s="58" t="str">
        <f t="shared" si="13"/>
        <v>东北区黑龙江省牡丹江所</v>
      </c>
      <c r="B77" s="58" t="str">
        <f t="shared" si="14"/>
        <v>标箱组牡丹江所</v>
      </c>
      <c r="C77" s="4">
        <v>37</v>
      </c>
      <c r="D77" s="4" t="s">
        <v>9</v>
      </c>
      <c r="E77" s="4" t="str">
        <f t="shared" si="9"/>
        <v>东北区</v>
      </c>
      <c r="F77" s="4" t="s">
        <v>49</v>
      </c>
      <c r="G77" s="4" t="s">
        <v>137</v>
      </c>
      <c r="H77" s="4" t="s">
        <v>144</v>
      </c>
      <c r="I77" s="83">
        <v>229.02</v>
      </c>
      <c r="J77" s="76">
        <f t="shared" ca="1" si="11"/>
        <v>6.5755737333076852E-2</v>
      </c>
      <c r="K77" s="4" t="str">
        <f t="shared" si="10"/>
        <v>是</v>
      </c>
      <c r="L77" s="4" t="s">
        <v>12</v>
      </c>
      <c r="M77" s="4"/>
      <c r="N77" s="4" t="s">
        <v>73</v>
      </c>
      <c r="O77" s="8"/>
      <c r="P77" s="84">
        <f t="shared" ca="1" si="12"/>
        <v>29367</v>
      </c>
      <c r="Q77" s="7">
        <v>0</v>
      </c>
      <c r="R77" s="59"/>
    </row>
    <row r="78" spans="1:18">
      <c r="A78" s="58" t="str">
        <f t="shared" si="13"/>
        <v>东北区黑龙江省绥化所</v>
      </c>
      <c r="B78" s="58" t="str">
        <f t="shared" si="14"/>
        <v>标箱组绥化所</v>
      </c>
      <c r="C78" s="4">
        <v>38</v>
      </c>
      <c r="D78" s="4" t="s">
        <v>9</v>
      </c>
      <c r="E78" s="4" t="str">
        <f t="shared" si="9"/>
        <v>东北区</v>
      </c>
      <c r="F78" s="4" t="s">
        <v>49</v>
      </c>
      <c r="G78" s="4" t="s">
        <v>137</v>
      </c>
      <c r="H78" s="4" t="s">
        <v>147</v>
      </c>
      <c r="I78" s="83">
        <v>363.01</v>
      </c>
      <c r="J78" s="76">
        <f t="shared" ca="1" si="11"/>
        <v>0.10422666234075724</v>
      </c>
      <c r="K78" s="4" t="str">
        <f t="shared" si="10"/>
        <v>是</v>
      </c>
      <c r="L78" s="4" t="s">
        <v>12</v>
      </c>
      <c r="M78" s="4"/>
      <c r="N78" s="4" t="s">
        <v>73</v>
      </c>
      <c r="O78" s="8"/>
      <c r="P78" s="84">
        <f t="shared" ca="1" si="12"/>
        <v>46548</v>
      </c>
      <c r="Q78" s="7">
        <v>0</v>
      </c>
      <c r="R78" s="59"/>
    </row>
    <row r="79" spans="1:18">
      <c r="A79" s="58" t="str">
        <f t="shared" si="13"/>
        <v>东北区黑龙江省鸡西所</v>
      </c>
      <c r="B79" s="58" t="str">
        <f t="shared" si="14"/>
        <v>标箱组鸡西所</v>
      </c>
      <c r="C79" s="4">
        <v>39</v>
      </c>
      <c r="D79" s="4" t="s">
        <v>9</v>
      </c>
      <c r="E79" s="4" t="str">
        <f t="shared" si="9"/>
        <v>东北区</v>
      </c>
      <c r="F79" s="4" t="s">
        <v>49</v>
      </c>
      <c r="G79" s="4" t="s">
        <v>137</v>
      </c>
      <c r="H79" s="4" t="s">
        <v>142</v>
      </c>
      <c r="I79" s="83">
        <v>224.29</v>
      </c>
      <c r="J79" s="76">
        <f t="shared" ca="1" si="11"/>
        <v>6.4397669751269773E-2</v>
      </c>
      <c r="K79" s="4" t="str">
        <f t="shared" si="10"/>
        <v>是</v>
      </c>
      <c r="L79" s="4" t="s">
        <v>12</v>
      </c>
      <c r="M79" s="4"/>
      <c r="N79" s="4" t="s">
        <v>73</v>
      </c>
      <c r="O79" s="8"/>
      <c r="P79" s="84">
        <f t="shared" ca="1" si="12"/>
        <v>28760</v>
      </c>
      <c r="Q79" s="7">
        <v>0</v>
      </c>
      <c r="R79" s="59"/>
    </row>
    <row r="80" spans="1:18">
      <c r="A80" s="58" t="str">
        <f t="shared" si="13"/>
        <v>东北区黑龙江省黑河所</v>
      </c>
      <c r="B80" s="58" t="str">
        <f t="shared" si="14"/>
        <v>标箱组黑河所</v>
      </c>
      <c r="C80" s="4">
        <v>40</v>
      </c>
      <c r="D80" s="4" t="s">
        <v>9</v>
      </c>
      <c r="E80" s="4" t="str">
        <f t="shared" si="9"/>
        <v>东北区</v>
      </c>
      <c r="F80" s="4" t="s">
        <v>49</v>
      </c>
      <c r="G80" s="4" t="s">
        <v>137</v>
      </c>
      <c r="H80" s="4" t="s">
        <v>140</v>
      </c>
      <c r="I80" s="83">
        <v>208.91</v>
      </c>
      <c r="J80" s="76">
        <f t="shared" ca="1" si="11"/>
        <v>5.9981796726281914E-2</v>
      </c>
      <c r="K80" s="4" t="str">
        <f t="shared" si="10"/>
        <v>是</v>
      </c>
      <c r="L80" s="4" t="s">
        <v>12</v>
      </c>
      <c r="M80" s="4"/>
      <c r="N80" s="4" t="s">
        <v>73</v>
      </c>
      <c r="O80" s="8"/>
      <c r="P80" s="84">
        <f t="shared" ca="1" si="12"/>
        <v>26788</v>
      </c>
      <c r="Q80" s="7">
        <v>0</v>
      </c>
      <c r="R80" s="59"/>
    </row>
    <row r="81" spans="1:18">
      <c r="A81" s="58" t="str">
        <f t="shared" si="13"/>
        <v>东北区黑龙江省齐齐哈尔所</v>
      </c>
      <c r="B81" s="58" t="str">
        <f t="shared" si="14"/>
        <v>标箱组齐齐哈尔所</v>
      </c>
      <c r="C81" s="4">
        <v>41</v>
      </c>
      <c r="D81" s="4" t="s">
        <v>9</v>
      </c>
      <c r="E81" s="4" t="str">
        <f t="shared" si="9"/>
        <v>东北区</v>
      </c>
      <c r="F81" s="4" t="s">
        <v>49</v>
      </c>
      <c r="G81" s="4" t="s">
        <v>137</v>
      </c>
      <c r="H81" s="4" t="s">
        <v>145</v>
      </c>
      <c r="I81" s="83">
        <v>545.64</v>
      </c>
      <c r="J81" s="76">
        <f t="shared" ca="1" si="11"/>
        <v>0.15666300112837328</v>
      </c>
      <c r="K81" s="4" t="str">
        <f t="shared" si="10"/>
        <v>是</v>
      </c>
      <c r="L81" s="4" t="s">
        <v>12</v>
      </c>
      <c r="M81" s="4"/>
      <c r="N81" s="4" t="s">
        <v>73</v>
      </c>
      <c r="O81" s="8"/>
      <c r="P81" s="84">
        <f t="shared" ca="1" si="12"/>
        <v>69966</v>
      </c>
      <c r="Q81" s="7">
        <v>0</v>
      </c>
      <c r="R81" s="59"/>
    </row>
    <row r="82" spans="1:18">
      <c r="A82" s="58" t="str">
        <f t="shared" si="13"/>
        <v>华中区河南省安阳所</v>
      </c>
      <c r="B82" s="58" t="str">
        <f t="shared" si="14"/>
        <v>标箱组安阳所</v>
      </c>
      <c r="C82" s="4">
        <v>42</v>
      </c>
      <c r="D82" s="4" t="s">
        <v>9</v>
      </c>
      <c r="E82" s="4" t="str">
        <f t="shared" si="9"/>
        <v>华中区</v>
      </c>
      <c r="F82" s="4" t="s">
        <v>44</v>
      </c>
      <c r="G82" s="4" t="s">
        <v>283</v>
      </c>
      <c r="H82" s="4" t="s">
        <v>90</v>
      </c>
      <c r="I82" s="83">
        <v>541.70000000000005</v>
      </c>
      <c r="J82" s="76">
        <f t="shared" ca="1" si="11"/>
        <v>5.4860862845817385E-2</v>
      </c>
      <c r="K82" s="4" t="str">
        <f t="shared" si="10"/>
        <v>是</v>
      </c>
      <c r="L82" s="63" t="s">
        <v>91</v>
      </c>
      <c r="M82" s="4" t="s">
        <v>28</v>
      </c>
      <c r="N82" s="4" t="s">
        <v>73</v>
      </c>
      <c r="O82" s="5">
        <v>90000</v>
      </c>
      <c r="P82" s="84">
        <f t="shared" ca="1" si="12"/>
        <v>89121</v>
      </c>
      <c r="Q82" s="7">
        <v>308889</v>
      </c>
      <c r="R82" s="59"/>
    </row>
    <row r="83" spans="1:18">
      <c r="A83" s="58" t="str">
        <f t="shared" si="13"/>
        <v>华中区河南省延津所</v>
      </c>
      <c r="B83" s="58" t="str">
        <f t="shared" si="14"/>
        <v>标箱组延津所</v>
      </c>
      <c r="C83" s="4">
        <v>43</v>
      </c>
      <c r="D83" s="4" t="s">
        <v>9</v>
      </c>
      <c r="E83" s="4" t="str">
        <f t="shared" si="9"/>
        <v>华中区</v>
      </c>
      <c r="F83" s="4" t="s">
        <v>44</v>
      </c>
      <c r="G83" s="4" t="s">
        <v>283</v>
      </c>
      <c r="H83" s="4" t="s">
        <v>288</v>
      </c>
      <c r="I83" s="83">
        <v>273.32</v>
      </c>
      <c r="J83" s="76">
        <f t="shared" ca="1" si="11"/>
        <v>2.7680581563630804E-2</v>
      </c>
      <c r="K83" s="4" t="str">
        <f t="shared" si="10"/>
        <v>是</v>
      </c>
      <c r="L83" s="64" t="s">
        <v>12</v>
      </c>
      <c r="M83" s="4"/>
      <c r="N83" s="4" t="s">
        <v>73</v>
      </c>
      <c r="O83" s="5"/>
      <c r="P83" s="84">
        <f t="shared" ca="1" si="12"/>
        <v>44967</v>
      </c>
      <c r="Q83" s="7">
        <v>0</v>
      </c>
      <c r="R83" s="59"/>
    </row>
    <row r="84" spans="1:18">
      <c r="A84" s="58" t="str">
        <f t="shared" si="13"/>
        <v>华中区河南省新乡所</v>
      </c>
      <c r="B84" s="58" t="str">
        <f t="shared" si="14"/>
        <v>标箱组新乡所</v>
      </c>
      <c r="C84" s="4">
        <v>44</v>
      </c>
      <c r="D84" s="4" t="s">
        <v>9</v>
      </c>
      <c r="E84" s="4" t="str">
        <f t="shared" si="9"/>
        <v>华中区</v>
      </c>
      <c r="F84" s="4" t="s">
        <v>44</v>
      </c>
      <c r="G84" s="4" t="s">
        <v>283</v>
      </c>
      <c r="H84" s="4" t="s">
        <v>287</v>
      </c>
      <c r="I84" s="83">
        <v>343.29</v>
      </c>
      <c r="J84" s="76">
        <f t="shared" ca="1" si="11"/>
        <v>3.4766818545949138E-2</v>
      </c>
      <c r="K84" s="4" t="str">
        <f t="shared" si="10"/>
        <v>是</v>
      </c>
      <c r="L84" s="64" t="s">
        <v>12</v>
      </c>
      <c r="M84" s="4"/>
      <c r="N84" s="4" t="s">
        <v>73</v>
      </c>
      <c r="O84" s="5"/>
      <c r="P84" s="84">
        <f t="shared" ca="1" si="12"/>
        <v>56478</v>
      </c>
      <c r="Q84" s="7">
        <v>0</v>
      </c>
      <c r="R84" s="59"/>
    </row>
    <row r="85" spans="1:18">
      <c r="A85" s="58" t="str">
        <f t="shared" si="13"/>
        <v>华中区河南省濮阳所</v>
      </c>
      <c r="B85" s="58" t="str">
        <f t="shared" si="14"/>
        <v>标箱组濮阳所</v>
      </c>
      <c r="C85" s="4">
        <v>45</v>
      </c>
      <c r="D85" s="4" t="s">
        <v>9</v>
      </c>
      <c r="E85" s="4" t="str">
        <f t="shared" si="9"/>
        <v>华中区</v>
      </c>
      <c r="F85" s="4" t="s">
        <v>44</v>
      </c>
      <c r="G85" s="4" t="s">
        <v>283</v>
      </c>
      <c r="H85" s="4" t="s">
        <v>286</v>
      </c>
      <c r="I85" s="83">
        <v>374.29</v>
      </c>
      <c r="J85" s="76">
        <f t="shared" ca="1" si="11"/>
        <v>3.7906354725052591E-2</v>
      </c>
      <c r="K85" s="4" t="str">
        <f t="shared" si="10"/>
        <v>是</v>
      </c>
      <c r="L85" s="63" t="s">
        <v>91</v>
      </c>
      <c r="M85" s="4" t="s">
        <v>11</v>
      </c>
      <c r="N85" s="4" t="s">
        <v>73</v>
      </c>
      <c r="O85" s="5">
        <v>70000</v>
      </c>
      <c r="P85" s="84">
        <f t="shared" ca="1" si="12"/>
        <v>61579</v>
      </c>
      <c r="Q85" s="7">
        <v>0</v>
      </c>
      <c r="R85" s="59"/>
    </row>
    <row r="86" spans="1:18">
      <c r="A86" s="58" t="str">
        <f t="shared" si="13"/>
        <v>华中区河南省焦作所</v>
      </c>
      <c r="B86" s="58" t="str">
        <f t="shared" si="14"/>
        <v>标箱组焦作所</v>
      </c>
      <c r="C86" s="4">
        <v>46</v>
      </c>
      <c r="D86" s="4" t="s">
        <v>9</v>
      </c>
      <c r="E86" s="4" t="str">
        <f t="shared" si="9"/>
        <v>华中区</v>
      </c>
      <c r="F86" s="4" t="s">
        <v>44</v>
      </c>
      <c r="G86" s="4" t="s">
        <v>283</v>
      </c>
      <c r="H86" s="4" t="s">
        <v>285</v>
      </c>
      <c r="I86" s="83">
        <v>425.24</v>
      </c>
      <c r="J86" s="76">
        <f t="shared" ca="1" si="11"/>
        <v>4.3066334348450031E-2</v>
      </c>
      <c r="K86" s="4" t="str">
        <f t="shared" si="10"/>
        <v>是</v>
      </c>
      <c r="L86" s="64" t="s">
        <v>12</v>
      </c>
      <c r="M86" s="4"/>
      <c r="N86" s="4" t="s">
        <v>73</v>
      </c>
      <c r="O86" s="5"/>
      <c r="P86" s="84">
        <f t="shared" ca="1" si="12"/>
        <v>69961</v>
      </c>
      <c r="Q86" s="7">
        <v>0</v>
      </c>
      <c r="R86" s="59"/>
    </row>
    <row r="87" spans="1:18">
      <c r="A87" s="58" t="str">
        <f t="shared" si="13"/>
        <v>华中区河南省鹤壁所</v>
      </c>
      <c r="B87" s="58" t="str">
        <f t="shared" si="14"/>
        <v>标箱组鹤壁所</v>
      </c>
      <c r="C87" s="4">
        <v>47</v>
      </c>
      <c r="D87" s="4" t="s">
        <v>9</v>
      </c>
      <c r="E87" s="4" t="str">
        <f t="shared" si="9"/>
        <v>华中区</v>
      </c>
      <c r="F87" s="4" t="s">
        <v>44</v>
      </c>
      <c r="G87" s="4" t="s">
        <v>283</v>
      </c>
      <c r="H87" s="4" t="s">
        <v>284</v>
      </c>
      <c r="I87" s="83">
        <v>157.24</v>
      </c>
      <c r="J87" s="76">
        <f t="shared" ca="1" si="11"/>
        <v>1.5924537703297627E-2</v>
      </c>
      <c r="K87" s="4" t="str">
        <f t="shared" si="10"/>
        <v>是</v>
      </c>
      <c r="L87" s="63" t="s">
        <v>91</v>
      </c>
      <c r="M87" s="4" t="s">
        <v>11</v>
      </c>
      <c r="N87" s="4" t="s">
        <v>73</v>
      </c>
      <c r="O87" s="5">
        <v>40000</v>
      </c>
      <c r="P87" s="84">
        <f t="shared" ca="1" si="12"/>
        <v>25869</v>
      </c>
      <c r="Q87" s="7">
        <v>0</v>
      </c>
      <c r="R87" s="59"/>
    </row>
    <row r="88" spans="1:18">
      <c r="A88" s="58" t="str">
        <f t="shared" si="13"/>
        <v>华中区河南省周口所</v>
      </c>
      <c r="B88" s="58" t="str">
        <f t="shared" si="14"/>
        <v>标箱组周口所</v>
      </c>
      <c r="C88" s="4">
        <v>48</v>
      </c>
      <c r="D88" s="4" t="s">
        <v>9</v>
      </c>
      <c r="E88" s="4" t="str">
        <f t="shared" si="9"/>
        <v>华中区</v>
      </c>
      <c r="F88" s="4" t="s">
        <v>44</v>
      </c>
      <c r="G88" s="4" t="s">
        <v>289</v>
      </c>
      <c r="H88" s="4" t="s">
        <v>92</v>
      </c>
      <c r="I88" s="83">
        <v>492.23</v>
      </c>
      <c r="J88" s="76">
        <f t="shared" ca="1" si="11"/>
        <v>4.9850770756131972E-2</v>
      </c>
      <c r="K88" s="4" t="str">
        <f t="shared" si="10"/>
        <v>是</v>
      </c>
      <c r="L88" s="63" t="s">
        <v>93</v>
      </c>
      <c r="M88" s="4" t="s">
        <v>28</v>
      </c>
      <c r="N88" s="4" t="s">
        <v>73</v>
      </c>
      <c r="O88" s="5">
        <v>150000</v>
      </c>
      <c r="P88" s="84">
        <f t="shared" ca="1" si="12"/>
        <v>80982</v>
      </c>
      <c r="Q88" s="7">
        <v>308889</v>
      </c>
      <c r="R88" s="59"/>
    </row>
    <row r="89" spans="1:18">
      <c r="A89" s="58" t="str">
        <f t="shared" si="13"/>
        <v>华中区河南省商丘所</v>
      </c>
      <c r="B89" s="58" t="str">
        <f t="shared" si="14"/>
        <v>标箱组商丘所</v>
      </c>
      <c r="C89" s="4">
        <v>49</v>
      </c>
      <c r="D89" s="4" t="s">
        <v>9</v>
      </c>
      <c r="E89" s="4" t="str">
        <f t="shared" si="9"/>
        <v>华中区</v>
      </c>
      <c r="F89" s="4" t="s">
        <v>44</v>
      </c>
      <c r="G89" s="4" t="s">
        <v>289</v>
      </c>
      <c r="H89" s="4" t="s">
        <v>94</v>
      </c>
      <c r="I89" s="83">
        <v>449.93</v>
      </c>
      <c r="J89" s="76">
        <f t="shared" ca="1" si="11"/>
        <v>4.5566823002065007E-2</v>
      </c>
      <c r="K89" s="4" t="str">
        <f t="shared" si="10"/>
        <v>是</v>
      </c>
      <c r="L89" s="63" t="s">
        <v>95</v>
      </c>
      <c r="M89" s="4" t="s">
        <v>28</v>
      </c>
      <c r="N89" s="4" t="s">
        <v>73</v>
      </c>
      <c r="O89" s="5">
        <v>120000</v>
      </c>
      <c r="P89" s="84">
        <f t="shared" ca="1" si="12"/>
        <v>74023</v>
      </c>
      <c r="Q89" s="7">
        <v>308889</v>
      </c>
      <c r="R89" s="59"/>
    </row>
    <row r="90" spans="1:18">
      <c r="A90" s="58" t="str">
        <f t="shared" si="13"/>
        <v>华中区河南省平顶山所</v>
      </c>
      <c r="B90" s="58" t="str">
        <f t="shared" si="14"/>
        <v>标箱组平顶山所</v>
      </c>
      <c r="C90" s="4">
        <v>50</v>
      </c>
      <c r="D90" s="4" t="s">
        <v>9</v>
      </c>
      <c r="E90" s="4" t="str">
        <f t="shared" si="9"/>
        <v>华中区</v>
      </c>
      <c r="F90" s="4" t="s">
        <v>44</v>
      </c>
      <c r="G90" s="4" t="s">
        <v>289</v>
      </c>
      <c r="H90" s="4" t="s">
        <v>292</v>
      </c>
      <c r="I90" s="83">
        <v>496.11</v>
      </c>
      <c r="J90" s="76">
        <f t="shared" ca="1" si="11"/>
        <v>5.0243719155322983E-2</v>
      </c>
      <c r="K90" s="4" t="str">
        <f t="shared" si="10"/>
        <v>是</v>
      </c>
      <c r="L90" s="64" t="s">
        <v>12</v>
      </c>
      <c r="M90" s="4"/>
      <c r="N90" s="4" t="s">
        <v>73</v>
      </c>
      <c r="O90" s="5"/>
      <c r="P90" s="84">
        <f t="shared" ca="1" si="12"/>
        <v>81621</v>
      </c>
      <c r="Q90" s="7">
        <v>0</v>
      </c>
      <c r="R90" s="59"/>
    </row>
    <row r="91" spans="1:18">
      <c r="A91" s="58" t="str">
        <f t="shared" si="13"/>
        <v>华中区河南省永城所</v>
      </c>
      <c r="B91" s="58" t="str">
        <f t="shared" si="14"/>
        <v>标箱组永城所</v>
      </c>
      <c r="C91" s="4">
        <v>51</v>
      </c>
      <c r="D91" s="4" t="s">
        <v>9</v>
      </c>
      <c r="E91" s="4" t="str">
        <f t="shared" si="9"/>
        <v>华中区</v>
      </c>
      <c r="F91" s="4" t="s">
        <v>44</v>
      </c>
      <c r="G91" s="4" t="s">
        <v>289</v>
      </c>
      <c r="H91" s="4" t="s">
        <v>294</v>
      </c>
      <c r="I91" s="83">
        <v>323.07</v>
      </c>
      <c r="J91" s="76">
        <f t="shared" ca="1" si="11"/>
        <v>3.271903075428876E-2</v>
      </c>
      <c r="K91" s="4" t="str">
        <f t="shared" si="10"/>
        <v>是</v>
      </c>
      <c r="L91" s="64" t="s">
        <v>12</v>
      </c>
      <c r="M91" s="4"/>
      <c r="N91" s="4" t="s">
        <v>73</v>
      </c>
      <c r="O91" s="5"/>
      <c r="P91" s="84">
        <f t="shared" ca="1" si="12"/>
        <v>53152</v>
      </c>
      <c r="Q91" s="7">
        <v>0</v>
      </c>
      <c r="R91" s="59"/>
    </row>
    <row r="92" spans="1:18">
      <c r="A92" s="58" t="str">
        <f t="shared" si="13"/>
        <v>华中区河南省漯河所</v>
      </c>
      <c r="B92" s="58" t="str">
        <f t="shared" si="14"/>
        <v>标箱组漯河所</v>
      </c>
      <c r="C92" s="4">
        <v>52</v>
      </c>
      <c r="D92" s="4" t="s">
        <v>9</v>
      </c>
      <c r="E92" s="4" t="str">
        <f t="shared" si="9"/>
        <v>华中区</v>
      </c>
      <c r="F92" s="4" t="s">
        <v>44</v>
      </c>
      <c r="G92" s="4" t="s">
        <v>289</v>
      </c>
      <c r="H92" s="4" t="s">
        <v>291</v>
      </c>
      <c r="I92" s="83">
        <v>236.8</v>
      </c>
      <c r="J92" s="76">
        <f t="shared" ca="1" si="11"/>
        <v>2.3982005393925709E-2</v>
      </c>
      <c r="K92" s="4" t="str">
        <f t="shared" si="10"/>
        <v>是</v>
      </c>
      <c r="L92" s="64" t="s">
        <v>12</v>
      </c>
      <c r="M92" s="4"/>
      <c r="N92" s="4" t="s">
        <v>73</v>
      </c>
      <c r="O92" s="5"/>
      <c r="P92" s="84">
        <f t="shared" ca="1" si="12"/>
        <v>38959</v>
      </c>
      <c r="Q92" s="7">
        <v>0</v>
      </c>
      <c r="R92" s="59"/>
    </row>
    <row r="93" spans="1:18">
      <c r="A93" s="58" t="str">
        <f t="shared" si="13"/>
        <v>华中区河南省许昌所</v>
      </c>
      <c r="B93" s="58" t="str">
        <f t="shared" si="14"/>
        <v>标箱组许昌所</v>
      </c>
      <c r="C93" s="4">
        <v>53</v>
      </c>
      <c r="D93" s="4" t="s">
        <v>9</v>
      </c>
      <c r="E93" s="4" t="str">
        <f t="shared" si="9"/>
        <v>华中区</v>
      </c>
      <c r="F93" s="4" t="s">
        <v>44</v>
      </c>
      <c r="G93" s="4" t="s">
        <v>289</v>
      </c>
      <c r="H93" s="4" t="s">
        <v>293</v>
      </c>
      <c r="I93" s="83">
        <v>438.1</v>
      </c>
      <c r="J93" s="76">
        <f t="shared" ca="1" si="11"/>
        <v>4.4368735485974885E-2</v>
      </c>
      <c r="K93" s="4" t="str">
        <f t="shared" si="10"/>
        <v>是</v>
      </c>
      <c r="L93" s="64" t="s">
        <v>12</v>
      </c>
      <c r="M93" s="4"/>
      <c r="N93" s="4" t="s">
        <v>73</v>
      </c>
      <c r="O93" s="5"/>
      <c r="P93" s="84">
        <f t="shared" ca="1" si="12"/>
        <v>72077</v>
      </c>
      <c r="Q93" s="7">
        <v>0</v>
      </c>
      <c r="R93" s="59"/>
    </row>
    <row r="94" spans="1:18">
      <c r="A94" s="58" t="str">
        <f t="shared" si="13"/>
        <v>华中区河南省鹿邑所</v>
      </c>
      <c r="B94" s="58" t="str">
        <f t="shared" si="14"/>
        <v>标箱组鹿邑所</v>
      </c>
      <c r="C94" s="4">
        <v>54</v>
      </c>
      <c r="D94" s="4" t="s">
        <v>9</v>
      </c>
      <c r="E94" s="4" t="str">
        <f t="shared" si="9"/>
        <v>华中区</v>
      </c>
      <c r="F94" s="4" t="s">
        <v>44</v>
      </c>
      <c r="G94" s="4" t="s">
        <v>289</v>
      </c>
      <c r="H94" s="4" t="s">
        <v>290</v>
      </c>
      <c r="I94" s="83">
        <v>388.96</v>
      </c>
      <c r="J94" s="76">
        <f t="shared" ca="1" si="11"/>
        <v>3.9392064265292834E-2</v>
      </c>
      <c r="K94" s="4" t="str">
        <f t="shared" si="10"/>
        <v>是</v>
      </c>
      <c r="L94" s="63" t="s">
        <v>93</v>
      </c>
      <c r="M94" s="4" t="s">
        <v>11</v>
      </c>
      <c r="N94" s="4" t="s">
        <v>73</v>
      </c>
      <c r="O94" s="5">
        <v>110000</v>
      </c>
      <c r="P94" s="84">
        <f t="shared" ca="1" si="12"/>
        <v>63992</v>
      </c>
      <c r="Q94" s="7">
        <v>0</v>
      </c>
      <c r="R94" s="59"/>
    </row>
    <row r="95" spans="1:18">
      <c r="A95" s="58" t="str">
        <f t="shared" si="13"/>
        <v>华中区河南省三门峡所</v>
      </c>
      <c r="B95" s="58" t="str">
        <f t="shared" si="14"/>
        <v>标箱组三门峡所</v>
      </c>
      <c r="C95" s="4">
        <v>55</v>
      </c>
      <c r="D95" s="4" t="s">
        <v>9</v>
      </c>
      <c r="E95" s="4" t="str">
        <f t="shared" si="9"/>
        <v>华中区</v>
      </c>
      <c r="F95" s="4" t="s">
        <v>44</v>
      </c>
      <c r="G95" s="4" t="s">
        <v>295</v>
      </c>
      <c r="H95" s="4" t="s">
        <v>297</v>
      </c>
      <c r="I95" s="83">
        <v>203.71</v>
      </c>
      <c r="J95" s="76">
        <f t="shared" ca="1" si="11"/>
        <v>2.0630803711134314E-2</v>
      </c>
      <c r="K95" s="4" t="str">
        <f t="shared" si="10"/>
        <v>是</v>
      </c>
      <c r="L95" s="63" t="s">
        <v>99</v>
      </c>
      <c r="M95" s="4" t="s">
        <v>11</v>
      </c>
      <c r="N95" s="4" t="s">
        <v>73</v>
      </c>
      <c r="O95" s="5">
        <v>50000</v>
      </c>
      <c r="P95" s="84">
        <f t="shared" ca="1" si="12"/>
        <v>33515</v>
      </c>
      <c r="Q95" s="7">
        <v>0</v>
      </c>
      <c r="R95" s="59"/>
    </row>
    <row r="96" spans="1:18">
      <c r="A96" s="58" t="str">
        <f t="shared" si="13"/>
        <v>华中区河南省尉氏所</v>
      </c>
      <c r="B96" s="58" t="str">
        <f t="shared" si="14"/>
        <v>标箱组尉氏所</v>
      </c>
      <c r="C96" s="4">
        <v>56</v>
      </c>
      <c r="D96" s="4" t="s">
        <v>9</v>
      </c>
      <c r="E96" s="4" t="str">
        <f t="shared" si="9"/>
        <v>华中区</v>
      </c>
      <c r="F96" s="4" t="s">
        <v>44</v>
      </c>
      <c r="G96" s="4" t="s">
        <v>295</v>
      </c>
      <c r="H96" s="4" t="s">
        <v>96</v>
      </c>
      <c r="I96" s="83">
        <v>252.68</v>
      </c>
      <c r="J96" s="76">
        <f t="shared" ca="1" si="11"/>
        <v>2.5590258120511605E-2</v>
      </c>
      <c r="K96" s="4" t="str">
        <f t="shared" si="10"/>
        <v>是</v>
      </c>
      <c r="L96" s="63" t="s">
        <v>97</v>
      </c>
      <c r="M96" s="4" t="s">
        <v>28</v>
      </c>
      <c r="N96" s="4" t="s">
        <v>73</v>
      </c>
      <c r="O96" s="5">
        <v>90000</v>
      </c>
      <c r="P96" s="84">
        <f t="shared" ca="1" si="12"/>
        <v>41571</v>
      </c>
      <c r="Q96" s="7">
        <v>308889</v>
      </c>
      <c r="R96" s="59"/>
    </row>
    <row r="97" spans="1:18">
      <c r="A97" s="58" t="str">
        <f t="shared" si="13"/>
        <v>华中区河南省开封所</v>
      </c>
      <c r="B97" s="58" t="str">
        <f t="shared" si="14"/>
        <v>标箱组开封所</v>
      </c>
      <c r="C97" s="4">
        <v>57</v>
      </c>
      <c r="D97" s="4" t="s">
        <v>9</v>
      </c>
      <c r="E97" s="4" t="str">
        <f t="shared" si="9"/>
        <v>华中区</v>
      </c>
      <c r="F97" s="4" t="s">
        <v>44</v>
      </c>
      <c r="G97" s="4" t="s">
        <v>295</v>
      </c>
      <c r="H97" s="4" t="s">
        <v>296</v>
      </c>
      <c r="I97" s="83">
        <v>216.71</v>
      </c>
      <c r="J97" s="76">
        <f t="shared" ca="1" si="11"/>
        <v>2.194738339914544E-2</v>
      </c>
      <c r="K97" s="4" t="str">
        <f t="shared" si="10"/>
        <v>是</v>
      </c>
      <c r="L97" s="63" t="s">
        <v>97</v>
      </c>
      <c r="M97" s="4" t="s">
        <v>11</v>
      </c>
      <c r="N97" s="4" t="s">
        <v>73</v>
      </c>
      <c r="O97" s="5">
        <v>50000</v>
      </c>
      <c r="P97" s="84">
        <f t="shared" ca="1" si="12"/>
        <v>35653</v>
      </c>
      <c r="Q97" s="7">
        <v>0</v>
      </c>
      <c r="R97" s="59"/>
    </row>
    <row r="98" spans="1:18">
      <c r="A98" s="58" t="str">
        <f t="shared" si="13"/>
        <v>华中区河南省洛阳所</v>
      </c>
      <c r="B98" s="58" t="str">
        <f t="shared" si="14"/>
        <v>标箱组洛阳所</v>
      </c>
      <c r="C98" s="4">
        <v>58</v>
      </c>
      <c r="D98" s="4" t="s">
        <v>9</v>
      </c>
      <c r="E98" s="4" t="str">
        <f t="shared" si="9"/>
        <v>华中区</v>
      </c>
      <c r="F98" s="4" t="s">
        <v>44</v>
      </c>
      <c r="G98" s="4" t="s">
        <v>295</v>
      </c>
      <c r="H98" s="4" t="s">
        <v>98</v>
      </c>
      <c r="I98" s="83">
        <v>707.89</v>
      </c>
      <c r="J98" s="76">
        <f t="shared" ca="1" si="11"/>
        <v>7.1691815026630357E-2</v>
      </c>
      <c r="K98" s="4" t="str">
        <f t="shared" si="10"/>
        <v>是</v>
      </c>
      <c r="L98" s="63" t="s">
        <v>99</v>
      </c>
      <c r="M98" s="4" t="s">
        <v>28</v>
      </c>
      <c r="N98" s="4" t="s">
        <v>73</v>
      </c>
      <c r="O98" s="5">
        <v>180000</v>
      </c>
      <c r="P98" s="84">
        <f t="shared" ca="1" si="12"/>
        <v>116463</v>
      </c>
      <c r="Q98" s="7">
        <v>308889</v>
      </c>
      <c r="R98" s="59"/>
    </row>
    <row r="99" spans="1:18">
      <c r="A99" s="58" t="str">
        <f t="shared" si="13"/>
        <v>华中区河南省荥阳所</v>
      </c>
      <c r="B99" s="58" t="str">
        <f t="shared" si="14"/>
        <v>标箱组荥阳所</v>
      </c>
      <c r="C99" s="4">
        <v>59</v>
      </c>
      <c r="D99" s="4" t="s">
        <v>9</v>
      </c>
      <c r="E99" s="4" t="str">
        <f t="shared" si="9"/>
        <v>华中区</v>
      </c>
      <c r="F99" s="4" t="s">
        <v>44</v>
      </c>
      <c r="G99" s="4" t="s">
        <v>295</v>
      </c>
      <c r="H99" s="4" t="s">
        <v>298</v>
      </c>
      <c r="I99" s="83">
        <v>487.3</v>
      </c>
      <c r="J99" s="76">
        <f t="shared" ca="1" si="11"/>
        <v>4.9351483228293906E-2</v>
      </c>
      <c r="K99" s="4" t="str">
        <f t="shared" si="10"/>
        <v>是</v>
      </c>
      <c r="L99" s="63" t="s">
        <v>101</v>
      </c>
      <c r="M99" s="4" t="s">
        <v>11</v>
      </c>
      <c r="N99" s="4" t="s">
        <v>73</v>
      </c>
      <c r="O99" s="5">
        <v>70000</v>
      </c>
      <c r="P99" s="84">
        <f t="shared" ca="1" si="12"/>
        <v>80171</v>
      </c>
      <c r="Q99" s="7">
        <v>0</v>
      </c>
      <c r="R99" s="59"/>
    </row>
    <row r="100" spans="1:18">
      <c r="A100" s="58" t="str">
        <f t="shared" si="13"/>
        <v>华中区河南省郑州所</v>
      </c>
      <c r="B100" s="58" t="str">
        <f t="shared" si="14"/>
        <v>标箱组郑州所</v>
      </c>
      <c r="C100" s="4">
        <v>60</v>
      </c>
      <c r="D100" s="4" t="s">
        <v>9</v>
      </c>
      <c r="E100" s="4" t="str">
        <f t="shared" si="9"/>
        <v>华中区</v>
      </c>
      <c r="F100" s="4" t="s">
        <v>44</v>
      </c>
      <c r="G100" s="4" t="s">
        <v>295</v>
      </c>
      <c r="H100" s="4" t="s">
        <v>100</v>
      </c>
      <c r="I100" s="83">
        <v>297.83</v>
      </c>
      <c r="J100" s="76">
        <f t="shared" ca="1" si="11"/>
        <v>3.0162840652334853E-2</v>
      </c>
      <c r="K100" s="4" t="str">
        <f t="shared" si="10"/>
        <v>是</v>
      </c>
      <c r="L100" s="63" t="s">
        <v>101</v>
      </c>
      <c r="M100" s="4" t="s">
        <v>28</v>
      </c>
      <c r="N100" s="4" t="s">
        <v>73</v>
      </c>
      <c r="O100" s="5">
        <v>170000</v>
      </c>
      <c r="P100" s="84">
        <f t="shared" ca="1" si="12"/>
        <v>48999</v>
      </c>
      <c r="Q100" s="7">
        <v>308889</v>
      </c>
      <c r="R100" s="59"/>
    </row>
    <row r="101" spans="1:18">
      <c r="A101" s="58" t="str">
        <f t="shared" si="13"/>
        <v>华中区河南省金水所</v>
      </c>
      <c r="B101" s="58" t="str">
        <f t="shared" si="14"/>
        <v>标箱组金水所</v>
      </c>
      <c r="C101" s="4">
        <v>61</v>
      </c>
      <c r="D101" s="4" t="s">
        <v>9</v>
      </c>
      <c r="E101" s="4" t="str">
        <f t="shared" si="9"/>
        <v>华中区</v>
      </c>
      <c r="F101" s="4" t="s">
        <v>44</v>
      </c>
      <c r="G101" s="4" t="s">
        <v>295</v>
      </c>
      <c r="H101" s="4" t="s">
        <v>102</v>
      </c>
      <c r="I101" s="83">
        <v>497.67</v>
      </c>
      <c r="J101" s="76">
        <f t="shared" ca="1" si="11"/>
        <v>5.0401708717884318E-2</v>
      </c>
      <c r="K101" s="4" t="str">
        <f t="shared" si="10"/>
        <v>是</v>
      </c>
      <c r="L101" s="63" t="s">
        <v>103</v>
      </c>
      <c r="M101" s="4" t="s">
        <v>28</v>
      </c>
      <c r="N101" s="4" t="s">
        <v>73</v>
      </c>
      <c r="O101" s="5">
        <v>240000</v>
      </c>
      <c r="P101" s="84">
        <f t="shared" ca="1" si="12"/>
        <v>81877</v>
      </c>
      <c r="Q101" s="7">
        <v>308889</v>
      </c>
      <c r="R101" s="59"/>
    </row>
    <row r="102" spans="1:18">
      <c r="A102" s="58" t="str">
        <f t="shared" si="13"/>
        <v>华中区河南省信阳所</v>
      </c>
      <c r="B102" s="58" t="str">
        <f t="shared" si="14"/>
        <v>标箱组信阳所</v>
      </c>
      <c r="C102" s="4">
        <v>62</v>
      </c>
      <c r="D102" s="4" t="s">
        <v>9</v>
      </c>
      <c r="E102" s="4" t="str">
        <f t="shared" si="9"/>
        <v>华中区</v>
      </c>
      <c r="F102" s="4" t="s">
        <v>44</v>
      </c>
      <c r="G102" s="4" t="s">
        <v>299</v>
      </c>
      <c r="H102" s="4" t="s">
        <v>302</v>
      </c>
      <c r="I102" s="83">
        <v>333.54</v>
      </c>
      <c r="J102" s="76">
        <f t="shared" ca="1" si="11"/>
        <v>3.3779383779940796E-2</v>
      </c>
      <c r="K102" s="4" t="str">
        <f t="shared" si="10"/>
        <v>是</v>
      </c>
      <c r="L102" s="63" t="s">
        <v>603</v>
      </c>
      <c r="M102" s="4"/>
      <c r="N102" s="4" t="s">
        <v>73</v>
      </c>
      <c r="O102" s="5">
        <v>110000</v>
      </c>
      <c r="P102" s="84">
        <f t="shared" ca="1" si="12"/>
        <v>54874</v>
      </c>
      <c r="Q102" s="7">
        <v>238000</v>
      </c>
      <c r="R102" s="59"/>
    </row>
    <row r="103" spans="1:18">
      <c r="A103" s="58" t="str">
        <f t="shared" si="13"/>
        <v>华中区河南省南阳所</v>
      </c>
      <c r="B103" s="58" t="str">
        <f t="shared" si="14"/>
        <v>标箱组南阳所</v>
      </c>
      <c r="C103" s="4">
        <v>63</v>
      </c>
      <c r="D103" s="4" t="s">
        <v>9</v>
      </c>
      <c r="E103" s="4" t="str">
        <f t="shared" si="9"/>
        <v>华中区</v>
      </c>
      <c r="F103" s="4" t="s">
        <v>44</v>
      </c>
      <c r="G103" s="4" t="s">
        <v>299</v>
      </c>
      <c r="H103" s="4" t="s">
        <v>104</v>
      </c>
      <c r="I103" s="83">
        <v>527.26</v>
      </c>
      <c r="J103" s="76">
        <f t="shared" ca="1" si="11"/>
        <v>5.3398446638518872E-2</v>
      </c>
      <c r="K103" s="4" t="str">
        <f t="shared" si="10"/>
        <v>是</v>
      </c>
      <c r="L103" s="63" t="s">
        <v>105</v>
      </c>
      <c r="M103" s="4" t="s">
        <v>28</v>
      </c>
      <c r="N103" s="4" t="s">
        <v>73</v>
      </c>
      <c r="O103" s="5">
        <v>120000</v>
      </c>
      <c r="P103" s="84">
        <f t="shared" ca="1" si="12"/>
        <v>86745</v>
      </c>
      <c r="Q103" s="7">
        <v>308889</v>
      </c>
      <c r="R103" s="59"/>
    </row>
    <row r="104" spans="1:18">
      <c r="A104" s="58" t="str">
        <f t="shared" si="13"/>
        <v>华中区河南省固始所</v>
      </c>
      <c r="B104" s="58" t="str">
        <f t="shared" si="14"/>
        <v>标箱组固始所</v>
      </c>
      <c r="C104" s="4">
        <v>64</v>
      </c>
      <c r="D104" s="4" t="s">
        <v>9</v>
      </c>
      <c r="E104" s="4" t="str">
        <f t="shared" si="9"/>
        <v>华中区</v>
      </c>
      <c r="F104" s="4" t="s">
        <v>44</v>
      </c>
      <c r="G104" s="4" t="s">
        <v>299</v>
      </c>
      <c r="H104" s="4" t="s">
        <v>300</v>
      </c>
      <c r="I104" s="83">
        <v>285.07</v>
      </c>
      <c r="J104" s="76">
        <f t="shared" ca="1" si="11"/>
        <v>2.8870567050871626E-2</v>
      </c>
      <c r="K104" s="4" t="str">
        <f t="shared" si="10"/>
        <v>是</v>
      </c>
      <c r="L104" s="63" t="s">
        <v>603</v>
      </c>
      <c r="M104" s="4"/>
      <c r="N104" s="4" t="s">
        <v>73</v>
      </c>
      <c r="O104" s="5">
        <v>130000</v>
      </c>
      <c r="P104" s="84">
        <f t="shared" ca="1" si="12"/>
        <v>46900</v>
      </c>
      <c r="Q104" s="7">
        <v>258000</v>
      </c>
      <c r="R104" s="59"/>
    </row>
    <row r="105" spans="1:18">
      <c r="A105" s="58" t="str">
        <f t="shared" si="13"/>
        <v>华中区河南省平舆所</v>
      </c>
      <c r="B105" s="58" t="str">
        <f t="shared" si="14"/>
        <v>标箱组平舆所</v>
      </c>
      <c r="C105" s="4">
        <v>65</v>
      </c>
      <c r="D105" s="4" t="s">
        <v>9</v>
      </c>
      <c r="E105" s="4" t="str">
        <f t="shared" ref="E105:E168" si="15">_xlfn.XLOOKUP($F105,F:F,E:E)</f>
        <v>华中区</v>
      </c>
      <c r="F105" s="4" t="s">
        <v>44</v>
      </c>
      <c r="G105" s="4" t="s">
        <v>299</v>
      </c>
      <c r="H105" s="4" t="s">
        <v>301</v>
      </c>
      <c r="I105" s="83">
        <v>298.68</v>
      </c>
      <c r="J105" s="76">
        <f t="shared" ca="1" si="11"/>
        <v>3.0248924708858659E-2</v>
      </c>
      <c r="K105" s="4" t="str">
        <f t="shared" ref="K105:K168" si="16">_xlfn.XLOOKUP(F105,F:F,K:K,0)</f>
        <v>是</v>
      </c>
      <c r="L105" s="63" t="s">
        <v>107</v>
      </c>
      <c r="M105" s="4" t="s">
        <v>11</v>
      </c>
      <c r="N105" s="4" t="s">
        <v>73</v>
      </c>
      <c r="O105" s="5">
        <v>120000</v>
      </c>
      <c r="P105" s="84">
        <f t="shared" ca="1" si="12"/>
        <v>49139</v>
      </c>
      <c r="Q105" s="7">
        <v>0</v>
      </c>
      <c r="R105" s="59"/>
    </row>
    <row r="106" spans="1:18">
      <c r="A106" s="58" t="str">
        <f t="shared" si="13"/>
        <v>华中区河南省镇平所</v>
      </c>
      <c r="B106" s="58" t="str">
        <f t="shared" si="14"/>
        <v>标箱组镇平所</v>
      </c>
      <c r="C106" s="4">
        <v>66</v>
      </c>
      <c r="D106" s="4" t="s">
        <v>9</v>
      </c>
      <c r="E106" s="4" t="str">
        <f t="shared" si="15"/>
        <v>华中区</v>
      </c>
      <c r="F106" s="4" t="s">
        <v>44</v>
      </c>
      <c r="G106" s="4" t="s">
        <v>299</v>
      </c>
      <c r="H106" s="4" t="s">
        <v>303</v>
      </c>
      <c r="I106" s="83">
        <v>434.24</v>
      </c>
      <c r="J106" s="76">
        <f t="shared" ref="J106:J169" ca="1" si="17">I106/SUMIF($F$41:$G$456,$F106,$I$41:$I$456)</f>
        <v>4.3977812593996198E-2</v>
      </c>
      <c r="K106" s="4" t="str">
        <f t="shared" si="16"/>
        <v>是</v>
      </c>
      <c r="L106" s="63" t="s">
        <v>105</v>
      </c>
      <c r="M106" s="4" t="s">
        <v>11</v>
      </c>
      <c r="N106" s="4" t="s">
        <v>73</v>
      </c>
      <c r="O106" s="5">
        <v>130000</v>
      </c>
      <c r="P106" s="84">
        <f t="shared" ref="P106:P169" ca="1" si="18">ROUND(J106*VLOOKUP(F106,F:P,11,0),0)</f>
        <v>71442</v>
      </c>
      <c r="Q106" s="7">
        <v>0</v>
      </c>
      <c r="R106" s="59"/>
    </row>
    <row r="107" spans="1:18">
      <c r="A107" s="58" t="str">
        <f t="shared" si="13"/>
        <v>华中区河南省驻马店所</v>
      </c>
      <c r="B107" s="58" t="str">
        <f t="shared" si="14"/>
        <v>标箱组驻马店所</v>
      </c>
      <c r="C107" s="4">
        <v>67</v>
      </c>
      <c r="D107" s="4" t="s">
        <v>9</v>
      </c>
      <c r="E107" s="4" t="str">
        <f t="shared" si="15"/>
        <v>华中区</v>
      </c>
      <c r="F107" s="4" t="s">
        <v>44</v>
      </c>
      <c r="G107" s="4" t="s">
        <v>299</v>
      </c>
      <c r="H107" s="4" t="s">
        <v>106</v>
      </c>
      <c r="I107" s="83">
        <v>391.21</v>
      </c>
      <c r="J107" s="76">
        <f t="shared" ca="1" si="17"/>
        <v>3.9619933826679374E-2</v>
      </c>
      <c r="K107" s="4" t="str">
        <f t="shared" si="16"/>
        <v>是</v>
      </c>
      <c r="L107" s="63" t="s">
        <v>107</v>
      </c>
      <c r="M107" s="4" t="s">
        <v>28</v>
      </c>
      <c r="N107" s="4" t="s">
        <v>73</v>
      </c>
      <c r="O107" s="5">
        <v>130000</v>
      </c>
      <c r="P107" s="84">
        <f t="shared" ca="1" si="18"/>
        <v>64362</v>
      </c>
      <c r="Q107" s="7">
        <v>308889</v>
      </c>
      <c r="R107" s="59"/>
    </row>
    <row r="108" spans="1:18">
      <c r="A108" s="58" t="str">
        <f t="shared" si="13"/>
        <v>华中区湖北省仙桃所</v>
      </c>
      <c r="B108" s="58" t="str">
        <f t="shared" si="14"/>
        <v>标箱组仙桃所</v>
      </c>
      <c r="C108" s="4">
        <v>68</v>
      </c>
      <c r="D108" s="4" t="s">
        <v>9</v>
      </c>
      <c r="E108" s="4" t="str">
        <f t="shared" si="15"/>
        <v>华中区</v>
      </c>
      <c r="F108" s="4" t="s">
        <v>43</v>
      </c>
      <c r="G108" s="4" t="s">
        <v>314</v>
      </c>
      <c r="H108" s="4" t="s">
        <v>322</v>
      </c>
      <c r="I108" s="83">
        <v>360.98</v>
      </c>
      <c r="J108" s="76">
        <f t="shared" ca="1" si="17"/>
        <v>5.9875332981691412E-2</v>
      </c>
      <c r="K108" s="4" t="str">
        <f t="shared" si="16"/>
        <v>是</v>
      </c>
      <c r="L108" s="4" t="s">
        <v>12</v>
      </c>
      <c r="M108" s="4"/>
      <c r="N108" s="4" t="s">
        <v>73</v>
      </c>
      <c r="O108" s="8"/>
      <c r="P108" s="84">
        <f t="shared" ca="1" si="18"/>
        <v>59389</v>
      </c>
      <c r="Q108" s="7">
        <v>0</v>
      </c>
      <c r="R108" s="59"/>
    </row>
    <row r="109" spans="1:18">
      <c r="A109" s="58" t="str">
        <f t="shared" si="13"/>
        <v>华中区湖北省十堰所</v>
      </c>
      <c r="B109" s="58" t="str">
        <f t="shared" si="14"/>
        <v>标箱组十堰所</v>
      </c>
      <c r="C109" s="4">
        <v>69</v>
      </c>
      <c r="D109" s="4" t="s">
        <v>9</v>
      </c>
      <c r="E109" s="4" t="str">
        <f t="shared" si="15"/>
        <v>华中区</v>
      </c>
      <c r="F109" s="4" t="s">
        <v>43</v>
      </c>
      <c r="G109" s="4" t="s">
        <v>314</v>
      </c>
      <c r="H109" s="4" t="s">
        <v>320</v>
      </c>
      <c r="I109" s="83">
        <v>339.22</v>
      </c>
      <c r="J109" s="76">
        <f t="shared" ca="1" si="17"/>
        <v>5.6266027076429061E-2</v>
      </c>
      <c r="K109" s="4" t="str">
        <f t="shared" si="16"/>
        <v>是</v>
      </c>
      <c r="L109" s="4" t="s">
        <v>12</v>
      </c>
      <c r="M109" s="4"/>
      <c r="N109" s="4" t="s">
        <v>73</v>
      </c>
      <c r="O109" s="8"/>
      <c r="P109" s="84">
        <f t="shared" ca="1" si="18"/>
        <v>55809</v>
      </c>
      <c r="Q109" s="7">
        <v>0</v>
      </c>
      <c r="R109" s="59"/>
    </row>
    <row r="110" spans="1:18">
      <c r="A110" s="58" t="str">
        <f t="shared" si="13"/>
        <v>华中区湖北省宜昌所</v>
      </c>
      <c r="B110" s="58" t="str">
        <f t="shared" si="14"/>
        <v>标箱组宜昌所</v>
      </c>
      <c r="C110" s="4">
        <v>70</v>
      </c>
      <c r="D110" s="4" t="s">
        <v>9</v>
      </c>
      <c r="E110" s="4" t="str">
        <f t="shared" si="15"/>
        <v>华中区</v>
      </c>
      <c r="F110" s="4" t="s">
        <v>43</v>
      </c>
      <c r="G110" s="4" t="s">
        <v>314</v>
      </c>
      <c r="H110" s="4" t="s">
        <v>324</v>
      </c>
      <c r="I110" s="83">
        <v>205.72</v>
      </c>
      <c r="J110" s="76">
        <f t="shared" ca="1" si="17"/>
        <v>3.4122537262434367E-2</v>
      </c>
      <c r="K110" s="4" t="str">
        <f t="shared" si="16"/>
        <v>是</v>
      </c>
      <c r="L110" s="4" t="s">
        <v>12</v>
      </c>
      <c r="M110" s="4"/>
      <c r="N110" s="4" t="s">
        <v>73</v>
      </c>
      <c r="O110" s="8"/>
      <c r="P110" s="84">
        <f t="shared" ca="1" si="18"/>
        <v>33845</v>
      </c>
      <c r="Q110" s="7">
        <v>0</v>
      </c>
      <c r="R110" s="59"/>
    </row>
    <row r="111" spans="1:18">
      <c r="A111" s="58" t="str">
        <f t="shared" si="13"/>
        <v>华中区湖北省恩施所</v>
      </c>
      <c r="B111" s="58" t="str">
        <f t="shared" si="14"/>
        <v>标箱组恩施所</v>
      </c>
      <c r="C111" s="4">
        <v>71</v>
      </c>
      <c r="D111" s="4" t="s">
        <v>9</v>
      </c>
      <c r="E111" s="4" t="str">
        <f t="shared" si="15"/>
        <v>华中区</v>
      </c>
      <c r="F111" s="4" t="s">
        <v>43</v>
      </c>
      <c r="G111" s="4" t="s">
        <v>314</v>
      </c>
      <c r="H111" s="4" t="s">
        <v>315</v>
      </c>
      <c r="I111" s="83">
        <v>345.6</v>
      </c>
      <c r="J111" s="76">
        <f t="shared" ca="1" si="17"/>
        <v>5.732427026004918E-2</v>
      </c>
      <c r="K111" s="4" t="str">
        <f t="shared" si="16"/>
        <v>是</v>
      </c>
      <c r="L111" s="4" t="s">
        <v>12</v>
      </c>
      <c r="M111" s="4"/>
      <c r="N111" s="4" t="s">
        <v>73</v>
      </c>
      <c r="O111" s="8"/>
      <c r="P111" s="84">
        <f t="shared" ca="1" si="18"/>
        <v>56858</v>
      </c>
      <c r="Q111" s="7">
        <v>0</v>
      </c>
      <c r="R111" s="59"/>
    </row>
    <row r="112" spans="1:18">
      <c r="A112" s="58" t="str">
        <f t="shared" si="13"/>
        <v>华中区湖北省枝江所</v>
      </c>
      <c r="B112" s="58" t="str">
        <f t="shared" si="14"/>
        <v>标箱组枝江所</v>
      </c>
      <c r="C112" s="4">
        <v>72</v>
      </c>
      <c r="D112" s="4" t="s">
        <v>9</v>
      </c>
      <c r="E112" s="4" t="str">
        <f t="shared" si="15"/>
        <v>华中区</v>
      </c>
      <c r="F112" s="4" t="s">
        <v>43</v>
      </c>
      <c r="G112" s="4" t="s">
        <v>314</v>
      </c>
      <c r="H112" s="4" t="s">
        <v>325</v>
      </c>
      <c r="I112" s="83">
        <v>192.58</v>
      </c>
      <c r="J112" s="76">
        <f t="shared" ca="1" si="17"/>
        <v>3.1943020736922081E-2</v>
      </c>
      <c r="K112" s="4" t="str">
        <f t="shared" si="16"/>
        <v>是</v>
      </c>
      <c r="L112" s="4" t="s">
        <v>12</v>
      </c>
      <c r="M112" s="4"/>
      <c r="N112" s="4" t="s">
        <v>73</v>
      </c>
      <c r="O112" s="8"/>
      <c r="P112" s="84">
        <f t="shared" ca="1" si="18"/>
        <v>31683</v>
      </c>
      <c r="Q112" s="7">
        <v>0</v>
      </c>
      <c r="R112" s="59"/>
    </row>
    <row r="113" spans="1:18">
      <c r="A113" s="58" t="str">
        <f t="shared" si="13"/>
        <v>华中区湖北省樊城所</v>
      </c>
      <c r="B113" s="58" t="str">
        <f t="shared" si="14"/>
        <v>标箱组樊城所</v>
      </c>
      <c r="C113" s="4">
        <v>73</v>
      </c>
      <c r="D113" s="4" t="s">
        <v>9</v>
      </c>
      <c r="E113" s="4" t="str">
        <f t="shared" si="15"/>
        <v>华中区</v>
      </c>
      <c r="F113" s="4" t="s">
        <v>43</v>
      </c>
      <c r="G113" s="4" t="s">
        <v>314</v>
      </c>
      <c r="H113" s="4" t="s">
        <v>316</v>
      </c>
      <c r="I113" s="83">
        <v>267.58</v>
      </c>
      <c r="J113" s="76">
        <f t="shared" ca="1" si="17"/>
        <v>4.4383183553773027E-2</v>
      </c>
      <c r="K113" s="4" t="str">
        <f t="shared" si="16"/>
        <v>是</v>
      </c>
      <c r="L113" s="4" t="s">
        <v>12</v>
      </c>
      <c r="M113" s="4"/>
      <c r="N113" s="4" t="s">
        <v>73</v>
      </c>
      <c r="O113" s="8"/>
      <c r="P113" s="84">
        <f t="shared" ca="1" si="18"/>
        <v>44023</v>
      </c>
      <c r="Q113" s="7">
        <v>0</v>
      </c>
      <c r="R113" s="59"/>
    </row>
    <row r="114" spans="1:18">
      <c r="A114" s="58" t="str">
        <f t="shared" si="13"/>
        <v>华中区湖北省监利所</v>
      </c>
      <c r="B114" s="58" t="str">
        <f t="shared" si="14"/>
        <v>标箱组监利所</v>
      </c>
      <c r="C114" s="4">
        <v>74</v>
      </c>
      <c r="D114" s="4" t="s">
        <v>9</v>
      </c>
      <c r="E114" s="4" t="str">
        <f t="shared" si="15"/>
        <v>华中区</v>
      </c>
      <c r="F114" s="4" t="s">
        <v>43</v>
      </c>
      <c r="G114" s="4" t="s">
        <v>314</v>
      </c>
      <c r="H114" s="4" t="s">
        <v>317</v>
      </c>
      <c r="I114" s="83">
        <v>303.83999999999997</v>
      </c>
      <c r="J114" s="76">
        <f t="shared" ca="1" si="17"/>
        <v>5.0397587603626559E-2</v>
      </c>
      <c r="K114" s="4" t="str">
        <f t="shared" si="16"/>
        <v>是</v>
      </c>
      <c r="L114" s="4" t="s">
        <v>12</v>
      </c>
      <c r="M114" s="4"/>
      <c r="N114" s="4" t="s">
        <v>73</v>
      </c>
      <c r="O114" s="8"/>
      <c r="P114" s="84">
        <f t="shared" ca="1" si="18"/>
        <v>49988</v>
      </c>
      <c r="Q114" s="7">
        <v>0</v>
      </c>
      <c r="R114" s="59"/>
    </row>
    <row r="115" spans="1:18">
      <c r="A115" s="58" t="str">
        <f t="shared" si="13"/>
        <v>华中区湖北省荆州所</v>
      </c>
      <c r="B115" s="58" t="str">
        <f t="shared" si="14"/>
        <v>标箱组荆州所</v>
      </c>
      <c r="C115" s="4">
        <v>75</v>
      </c>
      <c r="D115" s="4" t="s">
        <v>9</v>
      </c>
      <c r="E115" s="4" t="str">
        <f t="shared" si="15"/>
        <v>华中区</v>
      </c>
      <c r="F115" s="4" t="s">
        <v>43</v>
      </c>
      <c r="G115" s="4" t="s">
        <v>314</v>
      </c>
      <c r="H115" s="4" t="s">
        <v>319</v>
      </c>
      <c r="I115" s="83">
        <v>321.24</v>
      </c>
      <c r="J115" s="76">
        <f t="shared" ca="1" si="17"/>
        <v>5.328370537713599E-2</v>
      </c>
      <c r="K115" s="4" t="str">
        <f t="shared" si="16"/>
        <v>是</v>
      </c>
      <c r="L115" s="4" t="s">
        <v>12</v>
      </c>
      <c r="M115" s="4"/>
      <c r="N115" s="4" t="s">
        <v>73</v>
      </c>
      <c r="O115" s="8"/>
      <c r="P115" s="84">
        <f t="shared" ca="1" si="18"/>
        <v>52851</v>
      </c>
      <c r="Q115" s="7">
        <v>0</v>
      </c>
      <c r="R115" s="59"/>
    </row>
    <row r="116" spans="1:18">
      <c r="A116" s="58" t="str">
        <f t="shared" si="13"/>
        <v>华中区湖北省荆门所</v>
      </c>
      <c r="B116" s="58" t="str">
        <f t="shared" si="14"/>
        <v>标箱组荆门所</v>
      </c>
      <c r="C116" s="4">
        <v>76</v>
      </c>
      <c r="D116" s="4" t="s">
        <v>9</v>
      </c>
      <c r="E116" s="4" t="str">
        <f t="shared" si="15"/>
        <v>华中区</v>
      </c>
      <c r="F116" s="4" t="s">
        <v>43</v>
      </c>
      <c r="G116" s="4" t="s">
        <v>314</v>
      </c>
      <c r="H116" s="4" t="s">
        <v>318</v>
      </c>
      <c r="I116" s="83">
        <v>255.01</v>
      </c>
      <c r="J116" s="76">
        <f t="shared" ca="1" si="17"/>
        <v>4.2298212265668808E-2</v>
      </c>
      <c r="K116" s="4" t="str">
        <f t="shared" si="16"/>
        <v>是</v>
      </c>
      <c r="L116" s="4" t="s">
        <v>12</v>
      </c>
      <c r="M116" s="4"/>
      <c r="N116" s="4" t="s">
        <v>73</v>
      </c>
      <c r="O116" s="8"/>
      <c r="P116" s="84">
        <f t="shared" ca="1" si="18"/>
        <v>41954</v>
      </c>
      <c r="Q116" s="7">
        <v>0</v>
      </c>
      <c r="R116" s="59"/>
    </row>
    <row r="117" spans="1:18">
      <c r="A117" s="58" t="str">
        <f t="shared" si="13"/>
        <v>华中区湖北省襄阳所</v>
      </c>
      <c r="B117" s="58" t="str">
        <f t="shared" si="14"/>
        <v>标箱组襄阳所</v>
      </c>
      <c r="C117" s="4">
        <v>77</v>
      </c>
      <c r="D117" s="4" t="s">
        <v>9</v>
      </c>
      <c r="E117" s="4" t="str">
        <f t="shared" si="15"/>
        <v>华中区</v>
      </c>
      <c r="F117" s="4" t="s">
        <v>43</v>
      </c>
      <c r="G117" s="4" t="s">
        <v>314</v>
      </c>
      <c r="H117" s="4" t="s">
        <v>323</v>
      </c>
      <c r="I117" s="83">
        <v>260.02</v>
      </c>
      <c r="J117" s="76">
        <f t="shared" ca="1" si="17"/>
        <v>4.3129215141834445E-2</v>
      </c>
      <c r="K117" s="4" t="str">
        <f t="shared" si="16"/>
        <v>是</v>
      </c>
      <c r="L117" s="4" t="s">
        <v>12</v>
      </c>
      <c r="M117" s="4"/>
      <c r="N117" s="4" t="s">
        <v>73</v>
      </c>
      <c r="O117" s="8"/>
      <c r="P117" s="84">
        <f t="shared" ca="1" si="18"/>
        <v>42779</v>
      </c>
      <c r="Q117" s="7">
        <v>0</v>
      </c>
      <c r="R117" s="59"/>
    </row>
    <row r="118" spans="1:18">
      <c r="A118" s="58" t="str">
        <f t="shared" si="13"/>
        <v>华中区湖北省随州所</v>
      </c>
      <c r="B118" s="58" t="str">
        <f t="shared" si="14"/>
        <v>标箱组随州所</v>
      </c>
      <c r="C118" s="4">
        <v>78</v>
      </c>
      <c r="D118" s="4" t="s">
        <v>9</v>
      </c>
      <c r="E118" s="4" t="str">
        <f t="shared" si="15"/>
        <v>华中区</v>
      </c>
      <c r="F118" s="4" t="s">
        <v>43</v>
      </c>
      <c r="G118" s="4" t="s">
        <v>314</v>
      </c>
      <c r="H118" s="4" t="s">
        <v>321</v>
      </c>
      <c r="I118" s="83">
        <v>201.37</v>
      </c>
      <c r="J118" s="76">
        <f t="shared" ca="1" si="17"/>
        <v>3.3401007819057013E-2</v>
      </c>
      <c r="K118" s="4" t="str">
        <f t="shared" si="16"/>
        <v>是</v>
      </c>
      <c r="L118" s="4" t="s">
        <v>12</v>
      </c>
      <c r="M118" s="4"/>
      <c r="N118" s="4" t="s">
        <v>73</v>
      </c>
      <c r="O118" s="8"/>
      <c r="P118" s="84">
        <f t="shared" ca="1" si="18"/>
        <v>33130</v>
      </c>
      <c r="Q118" s="7">
        <v>0</v>
      </c>
      <c r="R118" s="59"/>
    </row>
    <row r="119" spans="1:18">
      <c r="A119" s="58" t="str">
        <f t="shared" si="13"/>
        <v>华中区湖北省咸宁所</v>
      </c>
      <c r="B119" s="58" t="str">
        <f t="shared" si="14"/>
        <v>标箱组咸宁所</v>
      </c>
      <c r="C119" s="4">
        <v>79</v>
      </c>
      <c r="D119" s="4" t="s">
        <v>9</v>
      </c>
      <c r="E119" s="4" t="str">
        <f t="shared" si="15"/>
        <v>华中区</v>
      </c>
      <c r="F119" s="4" t="s">
        <v>43</v>
      </c>
      <c r="G119" s="4" t="s">
        <v>304</v>
      </c>
      <c r="H119" s="4" t="s">
        <v>312</v>
      </c>
      <c r="I119" s="83">
        <v>261.67</v>
      </c>
      <c r="J119" s="76">
        <f t="shared" ca="1" si="17"/>
        <v>4.3402898723805178E-2</v>
      </c>
      <c r="K119" s="4" t="str">
        <f t="shared" si="16"/>
        <v>是</v>
      </c>
      <c r="L119" s="4" t="s">
        <v>12</v>
      </c>
      <c r="M119" s="4"/>
      <c r="N119" s="4" t="s">
        <v>73</v>
      </c>
      <c r="O119" s="8"/>
      <c r="P119" s="84">
        <f t="shared" ca="1" si="18"/>
        <v>43050</v>
      </c>
      <c r="Q119" s="7">
        <v>0</v>
      </c>
      <c r="R119" s="59"/>
    </row>
    <row r="120" spans="1:18">
      <c r="A120" s="58" t="str">
        <f t="shared" si="13"/>
        <v>华中区湖北省孝感所</v>
      </c>
      <c r="B120" s="58" t="str">
        <f t="shared" si="14"/>
        <v>标箱组孝感所</v>
      </c>
      <c r="C120" s="4">
        <v>80</v>
      </c>
      <c r="D120" s="4" t="s">
        <v>9</v>
      </c>
      <c r="E120" s="4" t="str">
        <f t="shared" si="15"/>
        <v>华中区</v>
      </c>
      <c r="F120" s="4" t="s">
        <v>43</v>
      </c>
      <c r="G120" s="4" t="s">
        <v>304</v>
      </c>
      <c r="H120" s="4" t="s">
        <v>313</v>
      </c>
      <c r="I120" s="83">
        <v>238.05</v>
      </c>
      <c r="J120" s="76">
        <f t="shared" ca="1" si="17"/>
        <v>3.9485076780684913E-2</v>
      </c>
      <c r="K120" s="4" t="str">
        <f t="shared" si="16"/>
        <v>是</v>
      </c>
      <c r="L120" s="4" t="s">
        <v>12</v>
      </c>
      <c r="M120" s="4"/>
      <c r="N120" s="4" t="s">
        <v>73</v>
      </c>
      <c r="O120" s="8"/>
      <c r="P120" s="84">
        <f t="shared" ca="1" si="18"/>
        <v>39164</v>
      </c>
      <c r="Q120" s="7">
        <v>0</v>
      </c>
      <c r="R120" s="59"/>
    </row>
    <row r="121" spans="1:18">
      <c r="A121" s="58" t="str">
        <f t="shared" si="13"/>
        <v>华中区湖北省武昌所</v>
      </c>
      <c r="B121" s="58" t="str">
        <f t="shared" si="14"/>
        <v>标箱组武昌所</v>
      </c>
      <c r="C121" s="4">
        <v>81</v>
      </c>
      <c r="D121" s="4" t="s">
        <v>9</v>
      </c>
      <c r="E121" s="4" t="str">
        <f t="shared" si="15"/>
        <v>华中区</v>
      </c>
      <c r="F121" s="4" t="s">
        <v>43</v>
      </c>
      <c r="G121" s="4" t="s">
        <v>304</v>
      </c>
      <c r="H121" s="4" t="s">
        <v>311</v>
      </c>
      <c r="I121" s="83">
        <v>516.25</v>
      </c>
      <c r="J121" s="76">
        <f t="shared" ca="1" si="17"/>
        <v>8.562978738932403E-2</v>
      </c>
      <c r="K121" s="4" t="str">
        <f t="shared" si="16"/>
        <v>是</v>
      </c>
      <c r="L121" s="4" t="s">
        <v>12</v>
      </c>
      <c r="M121" s="4"/>
      <c r="N121" s="4" t="s">
        <v>73</v>
      </c>
      <c r="O121" s="8"/>
      <c r="P121" s="84">
        <f t="shared" ca="1" si="18"/>
        <v>84934</v>
      </c>
      <c r="Q121" s="7">
        <v>0</v>
      </c>
      <c r="R121" s="59"/>
    </row>
    <row r="122" spans="1:18">
      <c r="A122" s="58" t="str">
        <f t="shared" si="13"/>
        <v>华中区湖北省汉口所</v>
      </c>
      <c r="B122" s="58" t="str">
        <f t="shared" si="14"/>
        <v>标箱组汉口所</v>
      </c>
      <c r="C122" s="4">
        <v>82</v>
      </c>
      <c r="D122" s="4" t="s">
        <v>9</v>
      </c>
      <c r="E122" s="4" t="str">
        <f t="shared" si="15"/>
        <v>华中区</v>
      </c>
      <c r="F122" s="4" t="s">
        <v>43</v>
      </c>
      <c r="G122" s="4" t="s">
        <v>304</v>
      </c>
      <c r="H122" s="4" t="s">
        <v>306</v>
      </c>
      <c r="I122" s="83">
        <v>586.04</v>
      </c>
      <c r="J122" s="76">
        <f t="shared" ca="1" si="17"/>
        <v>9.7205773562497738E-2</v>
      </c>
      <c r="K122" s="4" t="str">
        <f t="shared" si="16"/>
        <v>是</v>
      </c>
      <c r="L122" s="4" t="s">
        <v>12</v>
      </c>
      <c r="M122" s="4"/>
      <c r="N122" s="4" t="s">
        <v>73</v>
      </c>
      <c r="O122" s="8"/>
      <c r="P122" s="84">
        <f t="shared" ca="1" si="18"/>
        <v>96416</v>
      </c>
      <c r="Q122" s="7">
        <v>0</v>
      </c>
      <c r="R122" s="59"/>
    </row>
    <row r="123" spans="1:18">
      <c r="A123" s="58" t="str">
        <f t="shared" si="13"/>
        <v>华中区湖北省汉川所</v>
      </c>
      <c r="B123" s="58" t="str">
        <f t="shared" si="14"/>
        <v>标箱组汉川所</v>
      </c>
      <c r="C123" s="4">
        <v>83</v>
      </c>
      <c r="D123" s="4" t="s">
        <v>9</v>
      </c>
      <c r="E123" s="4" t="str">
        <f t="shared" si="15"/>
        <v>华中区</v>
      </c>
      <c r="F123" s="4" t="s">
        <v>43</v>
      </c>
      <c r="G123" s="4" t="s">
        <v>304</v>
      </c>
      <c r="H123" s="4" t="s">
        <v>305</v>
      </c>
      <c r="I123" s="83">
        <v>180.53</v>
      </c>
      <c r="J123" s="76">
        <f t="shared" ca="1" si="17"/>
        <v>2.9944301244348024E-2</v>
      </c>
      <c r="K123" s="4" t="str">
        <f t="shared" si="16"/>
        <v>是</v>
      </c>
      <c r="L123" s="4" t="s">
        <v>12</v>
      </c>
      <c r="M123" s="4"/>
      <c r="N123" s="4" t="s">
        <v>73</v>
      </c>
      <c r="O123" s="8"/>
      <c r="P123" s="84">
        <f t="shared" ca="1" si="18"/>
        <v>29701</v>
      </c>
      <c r="Q123" s="7">
        <v>0</v>
      </c>
      <c r="R123" s="59"/>
    </row>
    <row r="124" spans="1:18">
      <c r="A124" s="58" t="str">
        <f t="shared" si="13"/>
        <v>华中区湖北省汉阳所</v>
      </c>
      <c r="B124" s="58" t="str">
        <f t="shared" si="14"/>
        <v>标箱组汉阳所</v>
      </c>
      <c r="C124" s="4">
        <v>84</v>
      </c>
      <c r="D124" s="4" t="s">
        <v>9</v>
      </c>
      <c r="E124" s="4" t="str">
        <f t="shared" si="15"/>
        <v>华中区</v>
      </c>
      <c r="F124" s="4" t="s">
        <v>43</v>
      </c>
      <c r="G124" s="4" t="s">
        <v>304</v>
      </c>
      <c r="H124" s="4" t="s">
        <v>307</v>
      </c>
      <c r="I124" s="83">
        <v>262.61</v>
      </c>
      <c r="J124" s="76">
        <f t="shared" ca="1" si="17"/>
        <v>4.3558815431109704E-2</v>
      </c>
      <c r="K124" s="4" t="str">
        <f t="shared" si="16"/>
        <v>是</v>
      </c>
      <c r="L124" s="4" t="s">
        <v>12</v>
      </c>
      <c r="M124" s="4"/>
      <c r="N124" s="4" t="s">
        <v>73</v>
      </c>
      <c r="O124" s="8"/>
      <c r="P124" s="84">
        <f t="shared" ca="1" si="18"/>
        <v>43205</v>
      </c>
      <c r="Q124" s="7">
        <v>0</v>
      </c>
      <c r="R124" s="59"/>
    </row>
    <row r="125" spans="1:18">
      <c r="A125" s="58" t="str">
        <f t="shared" si="13"/>
        <v>华中区湖北省黄冈所</v>
      </c>
      <c r="B125" s="58" t="str">
        <f t="shared" si="14"/>
        <v>标箱组黄冈所</v>
      </c>
      <c r="C125" s="4">
        <v>85</v>
      </c>
      <c r="D125" s="4" t="s">
        <v>9</v>
      </c>
      <c r="E125" s="4" t="str">
        <f t="shared" si="15"/>
        <v>华中区</v>
      </c>
      <c r="F125" s="4" t="s">
        <v>43</v>
      </c>
      <c r="G125" s="4" t="s">
        <v>304</v>
      </c>
      <c r="H125" s="4" t="s">
        <v>308</v>
      </c>
      <c r="I125" s="83">
        <v>295.52999999999997</v>
      </c>
      <c r="J125" s="76">
        <f t="shared" ca="1" si="17"/>
        <v>4.9019217563519478E-2</v>
      </c>
      <c r="K125" s="4" t="str">
        <f t="shared" si="16"/>
        <v>是</v>
      </c>
      <c r="L125" s="4" t="s">
        <v>12</v>
      </c>
      <c r="M125" s="4"/>
      <c r="N125" s="4" t="s">
        <v>73</v>
      </c>
      <c r="O125" s="8"/>
      <c r="P125" s="84">
        <f t="shared" ca="1" si="18"/>
        <v>48621</v>
      </c>
      <c r="Q125" s="7">
        <v>0</v>
      </c>
      <c r="R125" s="59"/>
    </row>
    <row r="126" spans="1:18">
      <c r="A126" s="58" t="str">
        <f t="shared" si="13"/>
        <v>华中区湖北省黄梅所</v>
      </c>
      <c r="B126" s="58" t="str">
        <f t="shared" si="14"/>
        <v>标箱组黄梅所</v>
      </c>
      <c r="C126" s="4">
        <v>86</v>
      </c>
      <c r="D126" s="4" t="s">
        <v>9</v>
      </c>
      <c r="E126" s="4" t="str">
        <f t="shared" si="15"/>
        <v>华中区</v>
      </c>
      <c r="F126" s="4" t="s">
        <v>43</v>
      </c>
      <c r="G126" s="4" t="s">
        <v>304</v>
      </c>
      <c r="H126" s="4" t="s">
        <v>309</v>
      </c>
      <c r="I126" s="83">
        <v>283.5</v>
      </c>
      <c r="J126" s="76">
        <f t="shared" ca="1" si="17"/>
        <v>4.7023815447696592E-2</v>
      </c>
      <c r="K126" s="4" t="str">
        <f t="shared" si="16"/>
        <v>是</v>
      </c>
      <c r="L126" s="4" t="s">
        <v>12</v>
      </c>
      <c r="M126" s="4"/>
      <c r="N126" s="4" t="s">
        <v>73</v>
      </c>
      <c r="O126" s="8"/>
      <c r="P126" s="84">
        <f t="shared" ca="1" si="18"/>
        <v>46642</v>
      </c>
      <c r="Q126" s="7">
        <v>0</v>
      </c>
      <c r="R126" s="59"/>
    </row>
    <row r="127" spans="1:18">
      <c r="A127" s="58" t="str">
        <f t="shared" si="13"/>
        <v>华中区湖北省黄石所</v>
      </c>
      <c r="B127" s="58" t="str">
        <f t="shared" si="14"/>
        <v>标箱组黄石所</v>
      </c>
      <c r="C127" s="4">
        <v>87</v>
      </c>
      <c r="D127" s="4" t="s">
        <v>9</v>
      </c>
      <c r="E127" s="4" t="str">
        <f t="shared" si="15"/>
        <v>华中区</v>
      </c>
      <c r="F127" s="4" t="s">
        <v>43</v>
      </c>
      <c r="G127" s="4" t="s">
        <v>304</v>
      </c>
      <c r="H127" s="4" t="s">
        <v>310</v>
      </c>
      <c r="I127" s="83">
        <v>351.52</v>
      </c>
      <c r="J127" s="76">
        <f t="shared" ca="1" si="17"/>
        <v>5.830621377839261E-2</v>
      </c>
      <c r="K127" s="4" t="str">
        <f t="shared" si="16"/>
        <v>是</v>
      </c>
      <c r="L127" s="4" t="s">
        <v>12</v>
      </c>
      <c r="M127" s="4"/>
      <c r="N127" s="4" t="s">
        <v>73</v>
      </c>
      <c r="O127" s="8"/>
      <c r="P127" s="84">
        <f t="shared" ca="1" si="18"/>
        <v>57832</v>
      </c>
      <c r="Q127" s="7">
        <v>0</v>
      </c>
      <c r="R127" s="59"/>
    </row>
    <row r="128" spans="1:18">
      <c r="A128" s="58" t="str">
        <f t="shared" si="13"/>
        <v>华中区湖南省娄底所</v>
      </c>
      <c r="B128" s="58" t="str">
        <f t="shared" si="14"/>
        <v>标箱组娄底所</v>
      </c>
      <c r="C128" s="4">
        <v>88</v>
      </c>
      <c r="D128" s="4" t="s">
        <v>9</v>
      </c>
      <c r="E128" s="4" t="str">
        <f t="shared" si="15"/>
        <v>华中区</v>
      </c>
      <c r="F128" s="4" t="s">
        <v>41</v>
      </c>
      <c r="G128" s="4" t="s">
        <v>326</v>
      </c>
      <c r="H128" s="4" t="s">
        <v>329</v>
      </c>
      <c r="I128" s="83">
        <v>376.01</v>
      </c>
      <c r="J128" s="76">
        <f t="shared" ca="1" si="17"/>
        <v>5.6565142958579173E-2</v>
      </c>
      <c r="K128" s="4" t="str">
        <f t="shared" si="16"/>
        <v>是</v>
      </c>
      <c r="L128" s="53" t="s">
        <v>12</v>
      </c>
      <c r="M128" s="4"/>
      <c r="N128" s="4" t="s">
        <v>73</v>
      </c>
      <c r="O128" s="8"/>
      <c r="P128" s="84">
        <f t="shared" ca="1" si="18"/>
        <v>61862</v>
      </c>
      <c r="Q128" s="7">
        <v>0</v>
      </c>
      <c r="R128" s="59"/>
    </row>
    <row r="129" spans="1:18">
      <c r="A129" s="58" t="str">
        <f t="shared" si="13"/>
        <v>华中区湖南省怀化所</v>
      </c>
      <c r="B129" s="58" t="str">
        <f t="shared" si="14"/>
        <v>标箱组怀化所</v>
      </c>
      <c r="C129" s="4">
        <v>89</v>
      </c>
      <c r="D129" s="4" t="s">
        <v>9</v>
      </c>
      <c r="E129" s="4" t="str">
        <f t="shared" si="15"/>
        <v>华中区</v>
      </c>
      <c r="F129" s="4" t="s">
        <v>41</v>
      </c>
      <c r="G129" s="4" t="s">
        <v>326</v>
      </c>
      <c r="H129" s="4" t="s">
        <v>328</v>
      </c>
      <c r="I129" s="83">
        <v>452.07</v>
      </c>
      <c r="J129" s="76">
        <f t="shared" ca="1" si="17"/>
        <v>6.8007244959668325E-2</v>
      </c>
      <c r="K129" s="4" t="str">
        <f t="shared" si="16"/>
        <v>是</v>
      </c>
      <c r="L129" s="53" t="s">
        <v>111</v>
      </c>
      <c r="M129" s="4" t="s">
        <v>11</v>
      </c>
      <c r="N129" s="4" t="s">
        <v>73</v>
      </c>
      <c r="O129" s="8">
        <v>45000</v>
      </c>
      <c r="P129" s="84">
        <f t="shared" ca="1" si="18"/>
        <v>74375</v>
      </c>
      <c r="Q129" s="7">
        <v>0</v>
      </c>
      <c r="R129" s="59"/>
    </row>
    <row r="130" spans="1:18">
      <c r="A130" s="58" t="str">
        <f t="shared" si="13"/>
        <v>华中区湖南省永州所</v>
      </c>
      <c r="B130" s="58" t="str">
        <f t="shared" si="14"/>
        <v>标箱组永州所</v>
      </c>
      <c r="C130" s="4">
        <v>90</v>
      </c>
      <c r="D130" s="4" t="s">
        <v>9</v>
      </c>
      <c r="E130" s="4" t="str">
        <f t="shared" si="15"/>
        <v>华中区</v>
      </c>
      <c r="F130" s="4" t="s">
        <v>41</v>
      </c>
      <c r="G130" s="4" t="s">
        <v>326</v>
      </c>
      <c r="H130" s="4" t="s">
        <v>331</v>
      </c>
      <c r="I130" s="83">
        <v>514.37</v>
      </c>
      <c r="J130" s="76">
        <f t="shared" ca="1" si="17"/>
        <v>7.7379358484094496E-2</v>
      </c>
      <c r="K130" s="4" t="str">
        <f t="shared" si="16"/>
        <v>是</v>
      </c>
      <c r="L130" s="53" t="s">
        <v>12</v>
      </c>
      <c r="M130" s="4"/>
      <c r="N130" s="4" t="s">
        <v>73</v>
      </c>
      <c r="O130" s="8"/>
      <c r="P130" s="84">
        <f t="shared" ca="1" si="18"/>
        <v>84625</v>
      </c>
      <c r="Q130" s="7">
        <v>0</v>
      </c>
      <c r="R130" s="59"/>
    </row>
    <row r="131" spans="1:18">
      <c r="A131" s="58" t="str">
        <f t="shared" si="13"/>
        <v>华中区湖南省湘西所</v>
      </c>
      <c r="B131" s="58" t="str">
        <f t="shared" si="14"/>
        <v>标箱组湘西所</v>
      </c>
      <c r="C131" s="4">
        <v>91</v>
      </c>
      <c r="D131" s="4" t="s">
        <v>9</v>
      </c>
      <c r="E131" s="4" t="str">
        <f t="shared" si="15"/>
        <v>华中区</v>
      </c>
      <c r="F131" s="4" t="s">
        <v>41</v>
      </c>
      <c r="G131" s="4" t="s">
        <v>326</v>
      </c>
      <c r="H131" s="4" t="s">
        <v>330</v>
      </c>
      <c r="I131" s="83">
        <v>290.2</v>
      </c>
      <c r="J131" s="76">
        <f t="shared" ca="1" si="17"/>
        <v>4.3656297669156872E-2</v>
      </c>
      <c r="K131" s="4" t="str">
        <f t="shared" si="16"/>
        <v>是</v>
      </c>
      <c r="L131" s="53" t="s">
        <v>12</v>
      </c>
      <c r="M131" s="4"/>
      <c r="N131" s="4" t="s">
        <v>73</v>
      </c>
      <c r="O131" s="8"/>
      <c r="P131" s="84">
        <f t="shared" ca="1" si="18"/>
        <v>47744</v>
      </c>
      <c r="Q131" s="7">
        <v>0</v>
      </c>
      <c r="R131" s="59"/>
    </row>
    <row r="132" spans="1:18">
      <c r="A132" s="58" t="str">
        <f t="shared" ref="A132:A195" si="19">E132&amp;F132&amp;H132</f>
        <v>华中区湖南省衡阳所</v>
      </c>
      <c r="B132" s="58" t="str">
        <f t="shared" si="14"/>
        <v>标箱组衡阳所</v>
      </c>
      <c r="C132" s="4">
        <v>92</v>
      </c>
      <c r="D132" s="4" t="s">
        <v>9</v>
      </c>
      <c r="E132" s="4" t="str">
        <f t="shared" si="15"/>
        <v>华中区</v>
      </c>
      <c r="F132" s="4" t="s">
        <v>41</v>
      </c>
      <c r="G132" s="4" t="s">
        <v>326</v>
      </c>
      <c r="H132" s="4" t="s">
        <v>108</v>
      </c>
      <c r="I132" s="83">
        <v>657.73</v>
      </c>
      <c r="J132" s="76">
        <f t="shared" ca="1" si="17"/>
        <v>9.8945750054908868E-2</v>
      </c>
      <c r="K132" s="4" t="str">
        <f t="shared" si="16"/>
        <v>是</v>
      </c>
      <c r="L132" s="53" t="s">
        <v>109</v>
      </c>
      <c r="M132" s="4" t="s">
        <v>28</v>
      </c>
      <c r="N132" s="4" t="s">
        <v>73</v>
      </c>
      <c r="O132" s="8">
        <v>157500</v>
      </c>
      <c r="P132" s="84">
        <f t="shared" ca="1" si="18"/>
        <v>108210</v>
      </c>
      <c r="Q132" s="7">
        <v>210000</v>
      </c>
      <c r="R132" s="59"/>
    </row>
    <row r="133" spans="1:18">
      <c r="A133" s="58" t="str">
        <f t="shared" si="19"/>
        <v>华中区湖南省邵阳所</v>
      </c>
      <c r="B133" s="58" t="str">
        <f t="shared" si="14"/>
        <v>标箱组邵阳所</v>
      </c>
      <c r="C133" s="4">
        <v>93</v>
      </c>
      <c r="D133" s="4" t="s">
        <v>9</v>
      </c>
      <c r="E133" s="4" t="str">
        <f t="shared" si="15"/>
        <v>华中区</v>
      </c>
      <c r="F133" s="4" t="s">
        <v>41</v>
      </c>
      <c r="G133" s="4" t="s">
        <v>326</v>
      </c>
      <c r="H133" s="4" t="s">
        <v>110</v>
      </c>
      <c r="I133" s="83">
        <v>641.78</v>
      </c>
      <c r="J133" s="76">
        <f t="shared" ca="1" si="17"/>
        <v>9.6546308470404893E-2</v>
      </c>
      <c r="K133" s="4" t="str">
        <f t="shared" si="16"/>
        <v>是</v>
      </c>
      <c r="L133" s="53" t="s">
        <v>111</v>
      </c>
      <c r="M133" s="4" t="s">
        <v>28</v>
      </c>
      <c r="N133" s="4" t="s">
        <v>73</v>
      </c>
      <c r="O133" s="8">
        <v>142500</v>
      </c>
      <c r="P133" s="84">
        <f t="shared" ca="1" si="18"/>
        <v>105586</v>
      </c>
      <c r="Q133" s="7">
        <v>240000</v>
      </c>
      <c r="R133" s="59"/>
    </row>
    <row r="134" spans="1:18">
      <c r="A134" s="58" t="str">
        <f t="shared" si="19"/>
        <v>华中区湖南省郴州所</v>
      </c>
      <c r="B134" s="58" t="str">
        <f t="shared" si="14"/>
        <v>标箱组郴州所</v>
      </c>
      <c r="C134" s="4">
        <v>94</v>
      </c>
      <c r="D134" s="4" t="s">
        <v>9</v>
      </c>
      <c r="E134" s="4" t="str">
        <f t="shared" si="15"/>
        <v>华中区</v>
      </c>
      <c r="F134" s="4" t="s">
        <v>41</v>
      </c>
      <c r="G134" s="4" t="s">
        <v>326</v>
      </c>
      <c r="H134" s="4" t="s">
        <v>327</v>
      </c>
      <c r="I134" s="83">
        <v>463.68</v>
      </c>
      <c r="J134" s="76">
        <f t="shared" ca="1" si="17"/>
        <v>6.9753797736852724E-2</v>
      </c>
      <c r="K134" s="4" t="str">
        <f t="shared" si="16"/>
        <v>是</v>
      </c>
      <c r="L134" s="53" t="s">
        <v>109</v>
      </c>
      <c r="M134" s="4" t="s">
        <v>11</v>
      </c>
      <c r="N134" s="4" t="s">
        <v>73</v>
      </c>
      <c r="O134" s="8">
        <v>30000</v>
      </c>
      <c r="P134" s="84">
        <f t="shared" ca="1" si="18"/>
        <v>76285</v>
      </c>
      <c r="Q134" s="7">
        <v>0</v>
      </c>
      <c r="R134" s="59"/>
    </row>
    <row r="135" spans="1:18">
      <c r="A135" s="58" t="str">
        <f t="shared" si="19"/>
        <v>华中区湖南省岳阳所</v>
      </c>
      <c r="B135" s="58" t="str">
        <f t="shared" si="14"/>
        <v>标箱组岳阳所</v>
      </c>
      <c r="C135" s="4">
        <v>95</v>
      </c>
      <c r="D135" s="4" t="s">
        <v>9</v>
      </c>
      <c r="E135" s="4" t="str">
        <f t="shared" si="15"/>
        <v>华中区</v>
      </c>
      <c r="F135" s="4" t="s">
        <v>41</v>
      </c>
      <c r="G135" s="4" t="s">
        <v>332</v>
      </c>
      <c r="H135" s="4" t="s">
        <v>112</v>
      </c>
      <c r="I135" s="83">
        <v>501.75</v>
      </c>
      <c r="J135" s="76">
        <f t="shared" ca="1" si="17"/>
        <v>7.548086614575969E-2</v>
      </c>
      <c r="K135" s="4" t="str">
        <f t="shared" si="16"/>
        <v>是</v>
      </c>
      <c r="L135" s="53" t="s">
        <v>113</v>
      </c>
      <c r="M135" s="4" t="s">
        <v>28</v>
      </c>
      <c r="N135" s="4" t="s">
        <v>73</v>
      </c>
      <c r="O135" s="8">
        <v>187500</v>
      </c>
      <c r="P135" s="84">
        <f t="shared" ca="1" si="18"/>
        <v>82548</v>
      </c>
      <c r="Q135" s="7">
        <v>240000</v>
      </c>
      <c r="R135" s="59"/>
    </row>
    <row r="136" spans="1:18">
      <c r="A136" s="58" t="str">
        <f t="shared" si="19"/>
        <v>华中区湖南省常德所</v>
      </c>
      <c r="B136" s="58" t="str">
        <f t="shared" si="14"/>
        <v>标箱组常德所</v>
      </c>
      <c r="C136" s="4">
        <v>96</v>
      </c>
      <c r="D136" s="4" t="s">
        <v>9</v>
      </c>
      <c r="E136" s="4" t="str">
        <f t="shared" si="15"/>
        <v>华中区</v>
      </c>
      <c r="F136" s="4" t="s">
        <v>41</v>
      </c>
      <c r="G136" s="4" t="s">
        <v>332</v>
      </c>
      <c r="H136" s="4" t="s">
        <v>333</v>
      </c>
      <c r="I136" s="83">
        <v>521.29999999999995</v>
      </c>
      <c r="J136" s="76">
        <f t="shared" ca="1" si="17"/>
        <v>7.8421874482878975E-2</v>
      </c>
      <c r="K136" s="4" t="str">
        <f t="shared" si="16"/>
        <v>是</v>
      </c>
      <c r="L136" s="53" t="s">
        <v>12</v>
      </c>
      <c r="M136" s="4"/>
      <c r="N136" s="4" t="s">
        <v>73</v>
      </c>
      <c r="O136" s="8"/>
      <c r="P136" s="84">
        <f t="shared" ca="1" si="18"/>
        <v>85765</v>
      </c>
      <c r="Q136" s="7">
        <v>0</v>
      </c>
      <c r="R136" s="59"/>
    </row>
    <row r="137" spans="1:18">
      <c r="A137" s="58" t="str">
        <f t="shared" si="19"/>
        <v>华中区湖南省张家界所</v>
      </c>
      <c r="B137" s="58" t="str">
        <f t="shared" si="14"/>
        <v>标箱组张家界所</v>
      </c>
      <c r="C137" s="4">
        <v>97</v>
      </c>
      <c r="D137" s="4" t="s">
        <v>9</v>
      </c>
      <c r="E137" s="4" t="str">
        <f t="shared" si="15"/>
        <v>华中区</v>
      </c>
      <c r="F137" s="4" t="s">
        <v>41</v>
      </c>
      <c r="G137" s="4" t="s">
        <v>332</v>
      </c>
      <c r="H137" s="4" t="s">
        <v>336</v>
      </c>
      <c r="I137" s="83">
        <v>149.69</v>
      </c>
      <c r="J137" s="76">
        <f t="shared" ca="1" si="17"/>
        <v>2.2518646444162967E-2</v>
      </c>
      <c r="K137" s="4" t="str">
        <f t="shared" si="16"/>
        <v>是</v>
      </c>
      <c r="L137" s="53" t="s">
        <v>12</v>
      </c>
      <c r="M137" s="4"/>
      <c r="N137" s="4" t="s">
        <v>73</v>
      </c>
      <c r="O137" s="8"/>
      <c r="P137" s="84">
        <f t="shared" ca="1" si="18"/>
        <v>24627</v>
      </c>
      <c r="Q137" s="7">
        <v>0</v>
      </c>
      <c r="R137" s="59"/>
    </row>
    <row r="138" spans="1:18">
      <c r="A138" s="58" t="str">
        <f t="shared" si="19"/>
        <v>华中区湖南省株洲所</v>
      </c>
      <c r="B138" s="58" t="str">
        <f t="shared" ref="B138:B201" si="20">IF(N138="省区总监",D138&amp;F138,D138&amp;H138)</f>
        <v>标箱组株洲所</v>
      </c>
      <c r="C138" s="4">
        <v>98</v>
      </c>
      <c r="D138" s="4" t="s">
        <v>9</v>
      </c>
      <c r="E138" s="4" t="str">
        <f t="shared" si="15"/>
        <v>华中区</v>
      </c>
      <c r="F138" s="4" t="s">
        <v>41</v>
      </c>
      <c r="G138" s="4" t="s">
        <v>332</v>
      </c>
      <c r="H138" s="4" t="s">
        <v>338</v>
      </c>
      <c r="I138" s="83">
        <v>387.1</v>
      </c>
      <c r="J138" s="76">
        <f t="shared" ca="1" si="17"/>
        <v>5.8233469427052473E-2</v>
      </c>
      <c r="K138" s="4" t="str">
        <f t="shared" si="16"/>
        <v>是</v>
      </c>
      <c r="L138" s="53" t="s">
        <v>12</v>
      </c>
      <c r="M138" s="4"/>
      <c r="N138" s="4" t="s">
        <v>73</v>
      </c>
      <c r="O138" s="8"/>
      <c r="P138" s="84">
        <f t="shared" ca="1" si="18"/>
        <v>63686</v>
      </c>
      <c r="Q138" s="7">
        <v>0</v>
      </c>
      <c r="R138" s="59"/>
    </row>
    <row r="139" spans="1:18">
      <c r="A139" s="58" t="str">
        <f t="shared" si="19"/>
        <v>华中区湖南省湘潭所</v>
      </c>
      <c r="B139" s="58" t="str">
        <f t="shared" si="20"/>
        <v>标箱组湘潭所</v>
      </c>
      <c r="C139" s="4">
        <v>99</v>
      </c>
      <c r="D139" s="4" t="s">
        <v>9</v>
      </c>
      <c r="E139" s="4" t="str">
        <f t="shared" si="15"/>
        <v>华中区</v>
      </c>
      <c r="F139" s="4" t="s">
        <v>41</v>
      </c>
      <c r="G139" s="4" t="s">
        <v>332</v>
      </c>
      <c r="H139" s="4" t="s">
        <v>334</v>
      </c>
      <c r="I139" s="83">
        <v>270.27</v>
      </c>
      <c r="J139" s="76">
        <f t="shared" ca="1" si="17"/>
        <v>4.0658123952594862E-2</v>
      </c>
      <c r="K139" s="4" t="str">
        <f t="shared" si="16"/>
        <v>是</v>
      </c>
      <c r="L139" s="53" t="s">
        <v>12</v>
      </c>
      <c r="M139" s="4"/>
      <c r="N139" s="4" t="s">
        <v>73</v>
      </c>
      <c r="O139" s="8"/>
      <c r="P139" s="84">
        <f t="shared" ca="1" si="18"/>
        <v>44465</v>
      </c>
      <c r="Q139" s="7">
        <v>0</v>
      </c>
      <c r="R139" s="59"/>
    </row>
    <row r="140" spans="1:18">
      <c r="A140" s="58" t="str">
        <f t="shared" si="19"/>
        <v>华中区湖南省益阳所</v>
      </c>
      <c r="B140" s="58" t="str">
        <f t="shared" si="20"/>
        <v>标箱组益阳所</v>
      </c>
      <c r="C140" s="4">
        <v>100</v>
      </c>
      <c r="D140" s="4" t="s">
        <v>9</v>
      </c>
      <c r="E140" s="4" t="str">
        <f t="shared" si="15"/>
        <v>华中区</v>
      </c>
      <c r="F140" s="4" t="s">
        <v>41</v>
      </c>
      <c r="G140" s="4" t="s">
        <v>332</v>
      </c>
      <c r="H140" s="4" t="s">
        <v>335</v>
      </c>
      <c r="I140" s="83">
        <v>379.37</v>
      </c>
      <c r="J140" s="76">
        <f t="shared" ca="1" si="17"/>
        <v>5.7070605261020139E-2</v>
      </c>
      <c r="K140" s="4" t="str">
        <f t="shared" si="16"/>
        <v>是</v>
      </c>
      <c r="L140" s="53" t="s">
        <v>12</v>
      </c>
      <c r="M140" s="4"/>
      <c r="N140" s="4" t="s">
        <v>73</v>
      </c>
      <c r="O140" s="8"/>
      <c r="P140" s="84">
        <f t="shared" ca="1" si="18"/>
        <v>62414</v>
      </c>
      <c r="Q140" s="7">
        <v>0</v>
      </c>
      <c r="R140" s="59"/>
    </row>
    <row r="141" spans="1:18">
      <c r="A141" s="58" t="str">
        <f t="shared" si="19"/>
        <v>华中区湖南省长沙东所</v>
      </c>
      <c r="B141" s="58" t="str">
        <f t="shared" si="20"/>
        <v>标箱组长沙东所</v>
      </c>
      <c r="C141" s="4">
        <v>101</v>
      </c>
      <c r="D141" s="4" t="s">
        <v>9</v>
      </c>
      <c r="E141" s="4" t="str">
        <f t="shared" si="15"/>
        <v>华中区</v>
      </c>
      <c r="F141" s="4" t="s">
        <v>41</v>
      </c>
      <c r="G141" s="4" t="s">
        <v>332</v>
      </c>
      <c r="H141" s="4" t="s">
        <v>114</v>
      </c>
      <c r="I141" s="83">
        <v>584</v>
      </c>
      <c r="J141" s="76">
        <f t="shared" ca="1" si="17"/>
        <v>8.7854162090929069E-2</v>
      </c>
      <c r="K141" s="4" t="str">
        <f t="shared" si="16"/>
        <v>是</v>
      </c>
      <c r="L141" s="53" t="s">
        <v>115</v>
      </c>
      <c r="M141" s="4" t="s">
        <v>28</v>
      </c>
      <c r="N141" s="4" t="s">
        <v>73</v>
      </c>
      <c r="O141" s="8">
        <v>157500</v>
      </c>
      <c r="P141" s="84">
        <f t="shared" ca="1" si="18"/>
        <v>96080</v>
      </c>
      <c r="Q141" s="7">
        <v>240000</v>
      </c>
      <c r="R141" s="59"/>
    </row>
    <row r="142" spans="1:18">
      <c r="A142" s="58" t="str">
        <f t="shared" si="19"/>
        <v>华中区湖南省长沙西所</v>
      </c>
      <c r="B142" s="58" t="str">
        <f t="shared" si="20"/>
        <v>标箱组长沙西所</v>
      </c>
      <c r="C142" s="4">
        <v>102</v>
      </c>
      <c r="D142" s="4" t="s">
        <v>9</v>
      </c>
      <c r="E142" s="4" t="str">
        <f t="shared" si="15"/>
        <v>华中区</v>
      </c>
      <c r="F142" s="4" t="s">
        <v>41</v>
      </c>
      <c r="G142" s="4" t="s">
        <v>332</v>
      </c>
      <c r="H142" s="4" t="s">
        <v>337</v>
      </c>
      <c r="I142" s="83">
        <v>458.06</v>
      </c>
      <c r="J142" s="76">
        <f t="shared" ca="1" si="17"/>
        <v>6.8908351861936584E-2</v>
      </c>
      <c r="K142" s="4" t="str">
        <f t="shared" si="16"/>
        <v>是</v>
      </c>
      <c r="L142" s="53" t="s">
        <v>115</v>
      </c>
      <c r="M142" s="4" t="s">
        <v>11</v>
      </c>
      <c r="N142" s="4" t="s">
        <v>73</v>
      </c>
      <c r="O142" s="8">
        <v>30000</v>
      </c>
      <c r="P142" s="84">
        <f t="shared" ca="1" si="18"/>
        <v>75361</v>
      </c>
      <c r="Q142" s="7">
        <v>0</v>
      </c>
      <c r="R142" s="59"/>
    </row>
    <row r="143" spans="1:18">
      <c r="A143" s="58" t="str">
        <f t="shared" si="19"/>
        <v>华北区内蒙古自治区乌兰察布所</v>
      </c>
      <c r="B143" s="58" t="str">
        <f t="shared" si="20"/>
        <v>标箱组乌兰察布所</v>
      </c>
      <c r="C143" s="4">
        <v>103</v>
      </c>
      <c r="D143" s="4" t="s">
        <v>9</v>
      </c>
      <c r="E143" s="4" t="str">
        <f t="shared" si="15"/>
        <v>华北区</v>
      </c>
      <c r="F143" s="4" t="s">
        <v>58</v>
      </c>
      <c r="G143" s="4" t="s">
        <v>197</v>
      </c>
      <c r="H143" s="4" t="s">
        <v>202</v>
      </c>
      <c r="I143" s="83">
        <v>380.57</v>
      </c>
      <c r="J143" s="76">
        <f t="shared" ca="1" si="17"/>
        <v>0.19315136627552884</v>
      </c>
      <c r="K143" s="4" t="str">
        <f t="shared" si="16"/>
        <v>否</v>
      </c>
      <c r="L143" s="4" t="s">
        <v>12</v>
      </c>
      <c r="M143" s="4"/>
      <c r="N143" s="4" t="s">
        <v>73</v>
      </c>
      <c r="O143" s="7"/>
      <c r="P143" s="84">
        <f t="shared" ca="1" si="18"/>
        <v>45470</v>
      </c>
      <c r="Q143" s="7">
        <v>0</v>
      </c>
      <c r="R143" s="59"/>
    </row>
    <row r="144" spans="1:18">
      <c r="A144" s="58" t="str">
        <f t="shared" si="19"/>
        <v>华北区内蒙古自治区包头所</v>
      </c>
      <c r="B144" s="58" t="str">
        <f t="shared" si="20"/>
        <v>标箱组包头所</v>
      </c>
      <c r="C144" s="4">
        <v>104</v>
      </c>
      <c r="D144" s="4" t="s">
        <v>9</v>
      </c>
      <c r="E144" s="4" t="str">
        <f t="shared" si="15"/>
        <v>华北区</v>
      </c>
      <c r="F144" s="4" t="s">
        <v>58</v>
      </c>
      <c r="G144" s="4" t="s">
        <v>197</v>
      </c>
      <c r="H144" s="4" t="s">
        <v>199</v>
      </c>
      <c r="I144" s="83">
        <v>274.05</v>
      </c>
      <c r="J144" s="76">
        <f t="shared" ca="1" si="17"/>
        <v>0.13908908197653172</v>
      </c>
      <c r="K144" s="4" t="str">
        <f t="shared" si="16"/>
        <v>否</v>
      </c>
      <c r="L144" s="4" t="s">
        <v>12</v>
      </c>
      <c r="M144" s="4"/>
      <c r="N144" s="4" t="s">
        <v>73</v>
      </c>
      <c r="O144" s="7"/>
      <c r="P144" s="84">
        <f t="shared" ca="1" si="18"/>
        <v>32743</v>
      </c>
      <c r="Q144" s="7">
        <v>0</v>
      </c>
      <c r="R144" s="59"/>
    </row>
    <row r="145" spans="1:18">
      <c r="A145" s="58" t="str">
        <f t="shared" si="19"/>
        <v>华北区内蒙古自治区呼和浩特所</v>
      </c>
      <c r="B145" s="58" t="str">
        <f t="shared" si="20"/>
        <v>标箱组呼和浩特所</v>
      </c>
      <c r="C145" s="4">
        <v>105</v>
      </c>
      <c r="D145" s="4" t="s">
        <v>9</v>
      </c>
      <c r="E145" s="4" t="str">
        <f t="shared" si="15"/>
        <v>华北区</v>
      </c>
      <c r="F145" s="4" t="s">
        <v>58</v>
      </c>
      <c r="G145" s="4" t="s">
        <v>197</v>
      </c>
      <c r="H145" s="4" t="s">
        <v>201</v>
      </c>
      <c r="I145" s="83">
        <v>355.1</v>
      </c>
      <c r="J145" s="76">
        <f t="shared" ca="1" si="17"/>
        <v>0.18022453205570668</v>
      </c>
      <c r="K145" s="4" t="str">
        <f t="shared" si="16"/>
        <v>否</v>
      </c>
      <c r="L145" s="4" t="s">
        <v>12</v>
      </c>
      <c r="M145" s="4"/>
      <c r="N145" s="4" t="s">
        <v>73</v>
      </c>
      <c r="O145" s="7"/>
      <c r="P145" s="84">
        <f t="shared" ca="1" si="18"/>
        <v>42426</v>
      </c>
      <c r="Q145" s="7">
        <v>0</v>
      </c>
      <c r="R145" s="59"/>
    </row>
    <row r="146" spans="1:18">
      <c r="A146" s="58" t="str">
        <f t="shared" si="19"/>
        <v>华北区内蒙古自治区巴彦淖尔所</v>
      </c>
      <c r="B146" s="58" t="str">
        <f t="shared" si="20"/>
        <v>标箱组巴彦淖尔所</v>
      </c>
      <c r="C146" s="4">
        <v>106</v>
      </c>
      <c r="D146" s="4" t="s">
        <v>9</v>
      </c>
      <c r="E146" s="4" t="str">
        <f t="shared" si="15"/>
        <v>华北区</v>
      </c>
      <c r="F146" s="4" t="s">
        <v>58</v>
      </c>
      <c r="G146" s="4" t="s">
        <v>197</v>
      </c>
      <c r="H146" s="4" t="s">
        <v>198</v>
      </c>
      <c r="I146" s="83">
        <v>235.72</v>
      </c>
      <c r="J146" s="76">
        <f t="shared" ca="1" si="17"/>
        <v>0.11963538917536237</v>
      </c>
      <c r="K146" s="4" t="str">
        <f t="shared" si="16"/>
        <v>否</v>
      </c>
      <c r="L146" s="4" t="s">
        <v>12</v>
      </c>
      <c r="M146" s="4"/>
      <c r="N146" s="4" t="s">
        <v>73</v>
      </c>
      <c r="O146" s="7"/>
      <c r="P146" s="84">
        <f t="shared" ca="1" si="18"/>
        <v>28163</v>
      </c>
      <c r="Q146" s="7">
        <v>0</v>
      </c>
      <c r="R146" s="59"/>
    </row>
    <row r="147" spans="1:18">
      <c r="A147" s="58" t="str">
        <f t="shared" si="19"/>
        <v>华北区内蒙古自治区鄂尔多斯所</v>
      </c>
      <c r="B147" s="58" t="str">
        <f t="shared" si="20"/>
        <v>标箱组鄂尔多斯所</v>
      </c>
      <c r="C147" s="4">
        <v>107</v>
      </c>
      <c r="D147" s="4" t="s">
        <v>9</v>
      </c>
      <c r="E147" s="4" t="str">
        <f t="shared" si="15"/>
        <v>华北区</v>
      </c>
      <c r="F147" s="4" t="s">
        <v>58</v>
      </c>
      <c r="G147" s="4" t="s">
        <v>197</v>
      </c>
      <c r="H147" s="4" t="s">
        <v>200</v>
      </c>
      <c r="I147" s="83">
        <v>220.11</v>
      </c>
      <c r="J147" s="76">
        <f t="shared" ca="1" si="17"/>
        <v>0.11171281822242073</v>
      </c>
      <c r="K147" s="4" t="str">
        <f t="shared" si="16"/>
        <v>否</v>
      </c>
      <c r="L147" s="4" t="s">
        <v>12</v>
      </c>
      <c r="M147" s="4"/>
      <c r="N147" s="4" t="s">
        <v>73</v>
      </c>
      <c r="O147" s="7"/>
      <c r="P147" s="84">
        <f t="shared" ca="1" si="18"/>
        <v>26298</v>
      </c>
      <c r="Q147" s="7">
        <v>0</v>
      </c>
      <c r="R147" s="59"/>
    </row>
    <row r="148" spans="1:18">
      <c r="A148" s="58" t="str">
        <f t="shared" si="19"/>
        <v>华北区内蒙古自治区银川所</v>
      </c>
      <c r="B148" s="58" t="str">
        <f t="shared" si="20"/>
        <v>标箱组银川所</v>
      </c>
      <c r="C148" s="4">
        <v>108</v>
      </c>
      <c r="D148" s="4" t="s">
        <v>9</v>
      </c>
      <c r="E148" s="4" t="str">
        <f t="shared" si="15"/>
        <v>华北区</v>
      </c>
      <c r="F148" s="4" t="s">
        <v>58</v>
      </c>
      <c r="G148" s="4" t="s">
        <v>197</v>
      </c>
      <c r="H148" s="4" t="s">
        <v>203</v>
      </c>
      <c r="I148" s="83">
        <v>504.77</v>
      </c>
      <c r="J148" s="76">
        <f t="shared" ca="1" si="17"/>
        <v>0.25618681229444962</v>
      </c>
      <c r="K148" s="4" t="str">
        <f t="shared" si="16"/>
        <v>否</v>
      </c>
      <c r="L148" s="4" t="s">
        <v>12</v>
      </c>
      <c r="M148" s="4"/>
      <c r="N148" s="4" t="s">
        <v>73</v>
      </c>
      <c r="O148" s="7"/>
      <c r="P148" s="84">
        <f t="shared" ca="1" si="18"/>
        <v>60309</v>
      </c>
      <c r="Q148" s="7">
        <v>0</v>
      </c>
      <c r="R148" s="59"/>
    </row>
    <row r="149" spans="1:18">
      <c r="A149" s="58" t="str">
        <f t="shared" si="19"/>
        <v>华北区北京市丰台所</v>
      </c>
      <c r="B149" s="58" t="str">
        <f t="shared" si="20"/>
        <v>标箱组丰台所</v>
      </c>
      <c r="C149" s="4">
        <v>109</v>
      </c>
      <c r="D149" s="4" t="s">
        <v>9</v>
      </c>
      <c r="E149" s="4" t="str">
        <f t="shared" si="15"/>
        <v>华北区</v>
      </c>
      <c r="F149" s="4" t="s">
        <v>51</v>
      </c>
      <c r="G149" s="4" t="s">
        <v>176</v>
      </c>
      <c r="H149" s="4" t="s">
        <v>180</v>
      </c>
      <c r="I149" s="83">
        <v>421.28</v>
      </c>
      <c r="J149" s="76">
        <f t="shared" ca="1" si="17"/>
        <v>0.14391172903820862</v>
      </c>
      <c r="K149" s="4" t="str">
        <f t="shared" si="16"/>
        <v>是</v>
      </c>
      <c r="L149" s="4" t="s">
        <v>12</v>
      </c>
      <c r="M149" s="4"/>
      <c r="N149" s="4" t="s">
        <v>73</v>
      </c>
      <c r="O149" s="8"/>
      <c r="P149" s="84">
        <f t="shared" ca="1" si="18"/>
        <v>50333</v>
      </c>
      <c r="Q149" s="7">
        <v>0</v>
      </c>
      <c r="R149" s="59"/>
    </row>
    <row r="150" spans="1:18">
      <c r="A150" s="58" t="str">
        <f t="shared" si="19"/>
        <v>华北区北京市宣化所</v>
      </c>
      <c r="B150" s="58" t="str">
        <f t="shared" si="20"/>
        <v>标箱组宣化所</v>
      </c>
      <c r="C150" s="4">
        <v>110</v>
      </c>
      <c r="D150" s="4" t="s">
        <v>9</v>
      </c>
      <c r="E150" s="4" t="str">
        <f t="shared" si="15"/>
        <v>华北区</v>
      </c>
      <c r="F150" s="4" t="s">
        <v>51</v>
      </c>
      <c r="G150" s="4" t="s">
        <v>176</v>
      </c>
      <c r="H150" s="4" t="s">
        <v>183</v>
      </c>
      <c r="I150" s="83">
        <v>184.46</v>
      </c>
      <c r="J150" s="76">
        <f t="shared" ca="1" si="17"/>
        <v>6.3012622337609112E-2</v>
      </c>
      <c r="K150" s="4" t="str">
        <f t="shared" si="16"/>
        <v>是</v>
      </c>
      <c r="L150" s="4" t="s">
        <v>12</v>
      </c>
      <c r="M150" s="4"/>
      <c r="N150" s="4" t="s">
        <v>73</v>
      </c>
      <c r="O150" s="8"/>
      <c r="P150" s="84">
        <f t="shared" ca="1" si="18"/>
        <v>22039</v>
      </c>
      <c r="Q150" s="7">
        <v>0</v>
      </c>
      <c r="R150" s="59"/>
    </row>
    <row r="151" spans="1:18">
      <c r="A151" s="58" t="str">
        <f t="shared" si="19"/>
        <v>华北区北京市张家口所</v>
      </c>
      <c r="B151" s="58" t="str">
        <f t="shared" si="20"/>
        <v>标箱组张家口所</v>
      </c>
      <c r="C151" s="4">
        <v>111</v>
      </c>
      <c r="D151" s="4" t="s">
        <v>9</v>
      </c>
      <c r="E151" s="4" t="str">
        <f t="shared" si="15"/>
        <v>华北区</v>
      </c>
      <c r="F151" s="4" t="s">
        <v>51</v>
      </c>
      <c r="G151" s="4" t="s">
        <v>176</v>
      </c>
      <c r="H151" s="4" t="s">
        <v>184</v>
      </c>
      <c r="I151" s="83">
        <v>220.64</v>
      </c>
      <c r="J151" s="76">
        <f t="shared" ca="1" si="17"/>
        <v>7.5371923411959627E-2</v>
      </c>
      <c r="K151" s="4" t="str">
        <f t="shared" si="16"/>
        <v>是</v>
      </c>
      <c r="L151" s="4" t="s">
        <v>12</v>
      </c>
      <c r="M151" s="4"/>
      <c r="N151" s="4" t="s">
        <v>73</v>
      </c>
      <c r="O151" s="8"/>
      <c r="P151" s="84">
        <f t="shared" ca="1" si="18"/>
        <v>26361</v>
      </c>
      <c r="Q151" s="7">
        <v>0</v>
      </c>
      <c r="R151" s="59"/>
    </row>
    <row r="152" spans="1:18">
      <c r="A152" s="58" t="str">
        <f t="shared" si="19"/>
        <v>华北区北京市承德所</v>
      </c>
      <c r="B152" s="58" t="str">
        <f t="shared" si="20"/>
        <v>标箱组承德所</v>
      </c>
      <c r="C152" s="4">
        <v>112</v>
      </c>
      <c r="D152" s="4" t="s">
        <v>9</v>
      </c>
      <c r="E152" s="4" t="str">
        <f t="shared" si="15"/>
        <v>华北区</v>
      </c>
      <c r="F152" s="4" t="s">
        <v>51</v>
      </c>
      <c r="G152" s="4" t="s">
        <v>176</v>
      </c>
      <c r="H152" s="4" t="s">
        <v>179</v>
      </c>
      <c r="I152" s="83">
        <v>333.63</v>
      </c>
      <c r="J152" s="76">
        <f t="shared" ca="1" si="17"/>
        <v>0.1139699728423318</v>
      </c>
      <c r="K152" s="4" t="str">
        <f t="shared" si="16"/>
        <v>是</v>
      </c>
      <c r="L152" s="4" t="s">
        <v>12</v>
      </c>
      <c r="M152" s="4"/>
      <c r="N152" s="4" t="s">
        <v>73</v>
      </c>
      <c r="O152" s="8"/>
      <c r="P152" s="84">
        <f t="shared" ca="1" si="18"/>
        <v>39861</v>
      </c>
      <c r="Q152" s="7">
        <v>0</v>
      </c>
      <c r="R152" s="59"/>
    </row>
    <row r="153" spans="1:18">
      <c r="A153" s="58" t="str">
        <f t="shared" si="19"/>
        <v>华北区北京市昌平所</v>
      </c>
      <c r="B153" s="58" t="str">
        <f t="shared" si="20"/>
        <v>标箱组昌平所</v>
      </c>
      <c r="C153" s="4">
        <v>113</v>
      </c>
      <c r="D153" s="4" t="s">
        <v>9</v>
      </c>
      <c r="E153" s="4" t="str">
        <f t="shared" si="15"/>
        <v>华北区</v>
      </c>
      <c r="F153" s="4" t="s">
        <v>51</v>
      </c>
      <c r="G153" s="4" t="s">
        <v>176</v>
      </c>
      <c r="H153" s="4" t="s">
        <v>177</v>
      </c>
      <c r="I153" s="83">
        <v>235.51</v>
      </c>
      <c r="J153" s="76">
        <f t="shared" ca="1" si="17"/>
        <v>8.0451602985635473E-2</v>
      </c>
      <c r="K153" s="4" t="str">
        <f t="shared" si="16"/>
        <v>是</v>
      </c>
      <c r="L153" s="4" t="s">
        <v>12</v>
      </c>
      <c r="M153" s="4"/>
      <c r="N153" s="4" t="s">
        <v>73</v>
      </c>
      <c r="O153" s="8"/>
      <c r="P153" s="84">
        <f t="shared" ca="1" si="18"/>
        <v>28138</v>
      </c>
      <c r="Q153" s="7">
        <v>0</v>
      </c>
      <c r="R153" s="59"/>
    </row>
    <row r="154" spans="1:18">
      <c r="A154" s="58" t="str">
        <f t="shared" si="19"/>
        <v>华北区北京市朝阳南所</v>
      </c>
      <c r="B154" s="58" t="str">
        <f t="shared" si="20"/>
        <v>标箱组朝阳南所</v>
      </c>
      <c r="C154" s="4">
        <v>114</v>
      </c>
      <c r="D154" s="4" t="s">
        <v>9</v>
      </c>
      <c r="E154" s="4" t="str">
        <f t="shared" si="15"/>
        <v>华北区</v>
      </c>
      <c r="F154" s="4" t="s">
        <v>51</v>
      </c>
      <c r="G154" s="4" t="s">
        <v>176</v>
      </c>
      <c r="H154" s="4" t="s">
        <v>178</v>
      </c>
      <c r="I154" s="83">
        <v>483.17</v>
      </c>
      <c r="J154" s="76">
        <f t="shared" ca="1" si="17"/>
        <v>0.16505371752609016</v>
      </c>
      <c r="K154" s="4" t="str">
        <f t="shared" si="16"/>
        <v>是</v>
      </c>
      <c r="L154" s="4" t="s">
        <v>12</v>
      </c>
      <c r="M154" s="4"/>
      <c r="N154" s="4" t="s">
        <v>73</v>
      </c>
      <c r="O154" s="8"/>
      <c r="P154" s="84">
        <f t="shared" ca="1" si="18"/>
        <v>57728</v>
      </c>
      <c r="Q154" s="7">
        <v>0</v>
      </c>
      <c r="R154" s="59"/>
    </row>
    <row r="155" spans="1:18">
      <c r="A155" s="58" t="str">
        <f t="shared" si="19"/>
        <v>华北区北京市海淀所</v>
      </c>
      <c r="B155" s="58" t="str">
        <f t="shared" si="20"/>
        <v>标箱组海淀所</v>
      </c>
      <c r="C155" s="4">
        <v>115</v>
      </c>
      <c r="D155" s="4" t="s">
        <v>9</v>
      </c>
      <c r="E155" s="4" t="str">
        <f t="shared" si="15"/>
        <v>华北区</v>
      </c>
      <c r="F155" s="4" t="s">
        <v>51</v>
      </c>
      <c r="G155" s="4" t="s">
        <v>176</v>
      </c>
      <c r="H155" s="4" t="s">
        <v>181</v>
      </c>
      <c r="I155" s="83">
        <v>795.93</v>
      </c>
      <c r="J155" s="76">
        <f t="shared" ca="1" si="17"/>
        <v>0.27189437545903289</v>
      </c>
      <c r="K155" s="4" t="str">
        <f t="shared" si="16"/>
        <v>是</v>
      </c>
      <c r="L155" s="4" t="s">
        <v>12</v>
      </c>
      <c r="M155" s="4"/>
      <c r="N155" s="4" t="s">
        <v>73</v>
      </c>
      <c r="O155" s="8"/>
      <c r="P155" s="84">
        <f t="shared" ca="1" si="18"/>
        <v>95096</v>
      </c>
      <c r="Q155" s="7">
        <v>0</v>
      </c>
      <c r="R155" s="59"/>
    </row>
    <row r="156" spans="1:18">
      <c r="A156" s="58" t="str">
        <f t="shared" si="19"/>
        <v>华北区北京市顺义所</v>
      </c>
      <c r="B156" s="58" t="str">
        <f t="shared" si="20"/>
        <v>标箱组顺义所</v>
      </c>
      <c r="C156" s="4">
        <v>116</v>
      </c>
      <c r="D156" s="4" t="s">
        <v>9</v>
      </c>
      <c r="E156" s="4" t="str">
        <f t="shared" si="15"/>
        <v>华北区</v>
      </c>
      <c r="F156" s="4" t="s">
        <v>51</v>
      </c>
      <c r="G156" s="4" t="s">
        <v>176</v>
      </c>
      <c r="H156" s="4" t="s">
        <v>182</v>
      </c>
      <c r="I156" s="83">
        <v>252.73</v>
      </c>
      <c r="J156" s="76">
        <f t="shared" ca="1" si="17"/>
        <v>8.6334056399132317E-2</v>
      </c>
      <c r="K156" s="4" t="str">
        <f t="shared" si="16"/>
        <v>是</v>
      </c>
      <c r="L156" s="4" t="s">
        <v>12</v>
      </c>
      <c r="M156" s="4"/>
      <c r="N156" s="4" t="s">
        <v>73</v>
      </c>
      <c r="O156" s="8"/>
      <c r="P156" s="84">
        <f t="shared" ca="1" si="18"/>
        <v>30196</v>
      </c>
      <c r="Q156" s="7">
        <v>0</v>
      </c>
      <c r="R156" s="59"/>
    </row>
    <row r="157" spans="1:18">
      <c r="A157" s="58" t="str">
        <f t="shared" si="19"/>
        <v>华北区天津市丰南所</v>
      </c>
      <c r="B157" s="58" t="str">
        <f t="shared" si="20"/>
        <v>标箱组丰南所</v>
      </c>
      <c r="C157" s="4">
        <v>117</v>
      </c>
      <c r="D157" s="4" t="s">
        <v>9</v>
      </c>
      <c r="E157" s="4" t="str">
        <f t="shared" si="15"/>
        <v>华北区</v>
      </c>
      <c r="F157" s="4" t="s">
        <v>52</v>
      </c>
      <c r="G157" s="4" t="s">
        <v>217</v>
      </c>
      <c r="H157" s="4" t="s">
        <v>219</v>
      </c>
      <c r="I157" s="83">
        <v>197.41</v>
      </c>
      <c r="J157" s="76">
        <f t="shared" ca="1" si="17"/>
        <v>6.6005309580650123E-2</v>
      </c>
      <c r="K157" s="4" t="str">
        <f t="shared" si="16"/>
        <v>是</v>
      </c>
      <c r="L157" s="54" t="s">
        <v>119</v>
      </c>
      <c r="M157" s="4" t="s">
        <v>11</v>
      </c>
      <c r="N157" s="4" t="s">
        <v>73</v>
      </c>
      <c r="O157" s="8">
        <v>60000</v>
      </c>
      <c r="P157" s="84">
        <f t="shared" ca="1" si="18"/>
        <v>23586</v>
      </c>
      <c r="Q157" s="7">
        <v>0</v>
      </c>
      <c r="R157" s="59"/>
    </row>
    <row r="158" spans="1:18">
      <c r="A158" s="58" t="str">
        <f t="shared" si="19"/>
        <v>华北区天津市唐山所</v>
      </c>
      <c r="B158" s="58" t="str">
        <f t="shared" si="20"/>
        <v>标箱组唐山所</v>
      </c>
      <c r="C158" s="4">
        <v>118</v>
      </c>
      <c r="D158" s="4" t="s">
        <v>9</v>
      </c>
      <c r="E158" s="4" t="str">
        <f t="shared" si="15"/>
        <v>华北区</v>
      </c>
      <c r="F158" s="4" t="s">
        <v>52</v>
      </c>
      <c r="G158" s="4" t="s">
        <v>217</v>
      </c>
      <c r="H158" s="4" t="s">
        <v>223</v>
      </c>
      <c r="I158" s="83">
        <v>289.05</v>
      </c>
      <c r="J158" s="76">
        <f t="shared" ca="1" si="17"/>
        <v>9.6645735952013173E-2</v>
      </c>
      <c r="K158" s="4" t="str">
        <f t="shared" si="16"/>
        <v>是</v>
      </c>
      <c r="L158" s="54" t="s">
        <v>119</v>
      </c>
      <c r="M158" s="4" t="s">
        <v>11</v>
      </c>
      <c r="N158" s="4" t="s">
        <v>73</v>
      </c>
      <c r="O158" s="8">
        <v>80000</v>
      </c>
      <c r="P158" s="84">
        <f t="shared" ca="1" si="18"/>
        <v>34535</v>
      </c>
      <c r="Q158" s="7">
        <v>0</v>
      </c>
      <c r="R158" s="59"/>
    </row>
    <row r="159" spans="1:18">
      <c r="A159" s="58" t="str">
        <f t="shared" si="19"/>
        <v>华北区天津市塘沽所</v>
      </c>
      <c r="B159" s="58" t="str">
        <f t="shared" si="20"/>
        <v>标箱组塘沽所</v>
      </c>
      <c r="C159" s="4">
        <v>119</v>
      </c>
      <c r="D159" s="4" t="s">
        <v>9</v>
      </c>
      <c r="E159" s="4" t="str">
        <f t="shared" si="15"/>
        <v>华北区</v>
      </c>
      <c r="F159" s="4" t="s">
        <v>52</v>
      </c>
      <c r="G159" s="4" t="s">
        <v>217</v>
      </c>
      <c r="H159" s="4" t="s">
        <v>224</v>
      </c>
      <c r="I159" s="83">
        <v>167.99</v>
      </c>
      <c r="J159" s="76">
        <f t="shared" ca="1" si="17"/>
        <v>5.616854240643035E-2</v>
      </c>
      <c r="K159" s="4" t="str">
        <f t="shared" si="16"/>
        <v>是</v>
      </c>
      <c r="L159" s="54" t="s">
        <v>117</v>
      </c>
      <c r="M159" s="4" t="s">
        <v>11</v>
      </c>
      <c r="N159" s="4" t="s">
        <v>73</v>
      </c>
      <c r="O159" s="8">
        <v>60000</v>
      </c>
      <c r="P159" s="84">
        <f t="shared" ca="1" si="18"/>
        <v>20071</v>
      </c>
      <c r="Q159" s="7">
        <v>0</v>
      </c>
      <c r="R159" s="59"/>
    </row>
    <row r="160" spans="1:18">
      <c r="A160" s="58" t="str">
        <f t="shared" si="19"/>
        <v>华北区天津市廊坊所</v>
      </c>
      <c r="B160" s="58" t="str">
        <f t="shared" si="20"/>
        <v>标箱组廊坊所</v>
      </c>
      <c r="C160" s="4">
        <v>120</v>
      </c>
      <c r="D160" s="4" t="s">
        <v>9</v>
      </c>
      <c r="E160" s="4" t="str">
        <f t="shared" si="15"/>
        <v>华北区</v>
      </c>
      <c r="F160" s="4" t="s">
        <v>52</v>
      </c>
      <c r="G160" s="4" t="s">
        <v>217</v>
      </c>
      <c r="H160" s="4" t="s">
        <v>221</v>
      </c>
      <c r="I160" s="83">
        <v>313.95</v>
      </c>
      <c r="J160" s="76">
        <f t="shared" ca="1" si="17"/>
        <v>0.10497121190843983</v>
      </c>
      <c r="K160" s="4" t="str">
        <f t="shared" si="16"/>
        <v>是</v>
      </c>
      <c r="L160" s="4" t="s">
        <v>12</v>
      </c>
      <c r="M160" s="4"/>
      <c r="N160" s="4" t="s">
        <v>73</v>
      </c>
      <c r="O160" s="8"/>
      <c r="P160" s="84">
        <f t="shared" ca="1" si="18"/>
        <v>37510</v>
      </c>
      <c r="Q160" s="7">
        <v>0</v>
      </c>
      <c r="R160" s="59"/>
    </row>
    <row r="161" spans="1:18">
      <c r="A161" s="58" t="str">
        <f t="shared" si="19"/>
        <v>华北区天津市武清所</v>
      </c>
      <c r="B161" s="58" t="str">
        <f t="shared" si="20"/>
        <v>标箱组武清所</v>
      </c>
      <c r="C161" s="4">
        <v>121</v>
      </c>
      <c r="D161" s="4" t="s">
        <v>9</v>
      </c>
      <c r="E161" s="4" t="str">
        <f t="shared" si="15"/>
        <v>华北区</v>
      </c>
      <c r="F161" s="4" t="s">
        <v>52</v>
      </c>
      <c r="G161" s="4" t="s">
        <v>217</v>
      </c>
      <c r="H161" s="4" t="s">
        <v>116</v>
      </c>
      <c r="I161" s="83">
        <v>704.85</v>
      </c>
      <c r="J161" s="76">
        <f t="shared" ca="1" si="17"/>
        <v>0.23567115373041511</v>
      </c>
      <c r="K161" s="4" t="str">
        <f t="shared" si="16"/>
        <v>是</v>
      </c>
      <c r="L161" s="54" t="s">
        <v>117</v>
      </c>
      <c r="M161" s="4" t="s">
        <v>28</v>
      </c>
      <c r="N161" s="4" t="s">
        <v>73</v>
      </c>
      <c r="O161" s="8">
        <v>80000</v>
      </c>
      <c r="P161" s="84">
        <f t="shared" ca="1" si="18"/>
        <v>84214</v>
      </c>
      <c r="Q161" s="7">
        <f>Q27/2</f>
        <v>318333.5</v>
      </c>
      <c r="R161" s="59"/>
    </row>
    <row r="162" spans="1:18">
      <c r="A162" s="58" t="str">
        <f t="shared" si="19"/>
        <v>华北区天津市河西所</v>
      </c>
      <c r="B162" s="58" t="str">
        <f t="shared" si="20"/>
        <v>标箱组河西所</v>
      </c>
      <c r="C162" s="4">
        <v>122</v>
      </c>
      <c r="D162" s="4" t="s">
        <v>9</v>
      </c>
      <c r="E162" s="4" t="str">
        <f t="shared" si="15"/>
        <v>华北区</v>
      </c>
      <c r="F162" s="4" t="s">
        <v>52</v>
      </c>
      <c r="G162" s="4" t="s">
        <v>217</v>
      </c>
      <c r="H162" s="4" t="s">
        <v>220</v>
      </c>
      <c r="I162" s="83">
        <v>491.16</v>
      </c>
      <c r="J162" s="76">
        <f t="shared" ca="1" si="17"/>
        <v>0.16422252091399686</v>
      </c>
      <c r="K162" s="4" t="str">
        <f t="shared" si="16"/>
        <v>是</v>
      </c>
      <c r="L162" s="54" t="s">
        <v>117</v>
      </c>
      <c r="M162" s="4" t="s">
        <v>11</v>
      </c>
      <c r="N162" s="4" t="s">
        <v>73</v>
      </c>
      <c r="O162" s="8">
        <v>80000</v>
      </c>
      <c r="P162" s="84">
        <f t="shared" ca="1" si="18"/>
        <v>58683</v>
      </c>
      <c r="Q162" s="7">
        <v>0</v>
      </c>
      <c r="R162" s="59"/>
    </row>
    <row r="163" spans="1:18">
      <c r="A163" s="58" t="str">
        <f t="shared" si="19"/>
        <v>华北区天津市秦皇岛所</v>
      </c>
      <c r="B163" s="58" t="str">
        <f t="shared" si="20"/>
        <v>标箱组秦皇岛所</v>
      </c>
      <c r="C163" s="4">
        <v>123</v>
      </c>
      <c r="D163" s="4" t="s">
        <v>9</v>
      </c>
      <c r="E163" s="4" t="str">
        <f t="shared" si="15"/>
        <v>华北区</v>
      </c>
      <c r="F163" s="4" t="s">
        <v>52</v>
      </c>
      <c r="G163" s="4" t="s">
        <v>217</v>
      </c>
      <c r="H163" s="4" t="s">
        <v>222</v>
      </c>
      <c r="I163" s="83">
        <v>309.81</v>
      </c>
      <c r="J163" s="76">
        <f t="shared" ca="1" si="17"/>
        <v>0.10358697614700986</v>
      </c>
      <c r="K163" s="4" t="str">
        <f t="shared" si="16"/>
        <v>是</v>
      </c>
      <c r="L163" s="4" t="s">
        <v>12</v>
      </c>
      <c r="M163" s="4"/>
      <c r="N163" s="4" t="s">
        <v>73</v>
      </c>
      <c r="O163" s="8"/>
      <c r="P163" s="84">
        <f t="shared" ca="1" si="18"/>
        <v>37015</v>
      </c>
      <c r="Q163" s="7">
        <v>0</v>
      </c>
      <c r="R163" s="59"/>
    </row>
    <row r="164" spans="1:18">
      <c r="A164" s="58" t="str">
        <f t="shared" si="19"/>
        <v>华北区天津市遵化所</v>
      </c>
      <c r="B164" s="58" t="str">
        <f t="shared" si="20"/>
        <v>标箱组遵化所</v>
      </c>
      <c r="C164" s="4">
        <v>124</v>
      </c>
      <c r="D164" s="4" t="s">
        <v>9</v>
      </c>
      <c r="E164" s="4" t="str">
        <f t="shared" si="15"/>
        <v>华北区</v>
      </c>
      <c r="F164" s="4" t="s">
        <v>52</v>
      </c>
      <c r="G164" s="4" t="s">
        <v>217</v>
      </c>
      <c r="H164" s="4" t="s">
        <v>118</v>
      </c>
      <c r="I164" s="83">
        <v>284.14</v>
      </c>
      <c r="J164" s="76">
        <f t="shared" ca="1" si="17"/>
        <v>9.5004045713215773E-2</v>
      </c>
      <c r="K164" s="4" t="str">
        <f t="shared" si="16"/>
        <v>是</v>
      </c>
      <c r="L164" s="54" t="s">
        <v>119</v>
      </c>
      <c r="M164" s="4" t="s">
        <v>28</v>
      </c>
      <c r="N164" s="4" t="s">
        <v>73</v>
      </c>
      <c r="O164" s="8">
        <v>80000</v>
      </c>
      <c r="P164" s="84">
        <f t="shared" ca="1" si="18"/>
        <v>33948</v>
      </c>
      <c r="Q164" s="7">
        <v>318333.5</v>
      </c>
      <c r="R164" s="59"/>
    </row>
    <row r="165" spans="1:18">
      <c r="A165" s="58" t="str">
        <f t="shared" si="19"/>
        <v>华北区天津市霸州所</v>
      </c>
      <c r="B165" s="58" t="str">
        <f t="shared" si="20"/>
        <v>标箱组霸州所</v>
      </c>
      <c r="C165" s="4">
        <v>125</v>
      </c>
      <c r="D165" s="4" t="s">
        <v>9</v>
      </c>
      <c r="E165" s="4" t="str">
        <f t="shared" si="15"/>
        <v>华北区</v>
      </c>
      <c r="F165" s="4" t="s">
        <v>52</v>
      </c>
      <c r="G165" s="4" t="s">
        <v>217</v>
      </c>
      <c r="H165" s="4" t="s">
        <v>218</v>
      </c>
      <c r="I165" s="83">
        <v>232.46</v>
      </c>
      <c r="J165" s="76">
        <f t="shared" ca="1" si="17"/>
        <v>7.7724503647829027E-2</v>
      </c>
      <c r="K165" s="4" t="str">
        <f t="shared" si="16"/>
        <v>是</v>
      </c>
      <c r="L165" s="4" t="s">
        <v>12</v>
      </c>
      <c r="M165" s="4"/>
      <c r="N165" s="4" t="s">
        <v>73</v>
      </c>
      <c r="O165" s="8"/>
      <c r="P165" s="84">
        <f t="shared" ca="1" si="18"/>
        <v>27774</v>
      </c>
      <c r="Q165" s="7">
        <v>0</v>
      </c>
      <c r="R165" s="59"/>
    </row>
    <row r="166" spans="1:18">
      <c r="A166" s="58" t="str">
        <f t="shared" si="19"/>
        <v>华北区山西省万荣所</v>
      </c>
      <c r="B166" s="58" t="str">
        <f t="shared" si="20"/>
        <v>标箱组万荣所</v>
      </c>
      <c r="C166" s="4">
        <v>126</v>
      </c>
      <c r="D166" s="4" t="s">
        <v>9</v>
      </c>
      <c r="E166" s="4" t="str">
        <f t="shared" si="15"/>
        <v>华北区</v>
      </c>
      <c r="F166" s="4" t="s">
        <v>56</v>
      </c>
      <c r="G166" s="4" t="s">
        <v>204</v>
      </c>
      <c r="H166" s="4" t="s">
        <v>212</v>
      </c>
      <c r="I166" s="83">
        <v>225.74</v>
      </c>
      <c r="J166" s="76">
        <f t="shared" ca="1" si="17"/>
        <v>6.4844710505452083E-2</v>
      </c>
      <c r="K166" s="4" t="str">
        <f t="shared" si="16"/>
        <v>是</v>
      </c>
      <c r="L166" s="4" t="s">
        <v>12</v>
      </c>
      <c r="M166" s="4"/>
      <c r="N166" s="4" t="s">
        <v>73</v>
      </c>
      <c r="O166" s="8"/>
      <c r="P166" s="84">
        <f t="shared" ca="1" si="18"/>
        <v>26971</v>
      </c>
      <c r="Q166" s="7">
        <v>0</v>
      </c>
      <c r="R166" s="59"/>
    </row>
    <row r="167" spans="1:18">
      <c r="A167" s="58" t="str">
        <f t="shared" si="19"/>
        <v>华北区山西省临汾所</v>
      </c>
      <c r="B167" s="58" t="str">
        <f t="shared" si="20"/>
        <v>标箱组临汾所</v>
      </c>
      <c r="C167" s="4">
        <v>127</v>
      </c>
      <c r="D167" s="4" t="s">
        <v>9</v>
      </c>
      <c r="E167" s="4" t="str">
        <f t="shared" si="15"/>
        <v>华北区</v>
      </c>
      <c r="F167" s="4" t="s">
        <v>56</v>
      </c>
      <c r="G167" s="4" t="s">
        <v>204</v>
      </c>
      <c r="H167" s="4" t="s">
        <v>208</v>
      </c>
      <c r="I167" s="83">
        <v>390.64</v>
      </c>
      <c r="J167" s="76">
        <f t="shared" ca="1" si="17"/>
        <v>0.1122128896600062</v>
      </c>
      <c r="K167" s="4" t="str">
        <f t="shared" si="16"/>
        <v>是</v>
      </c>
      <c r="L167" s="4" t="s">
        <v>12</v>
      </c>
      <c r="M167" s="4"/>
      <c r="N167" s="4" t="s">
        <v>73</v>
      </c>
      <c r="O167" s="8"/>
      <c r="P167" s="84">
        <f t="shared" ca="1" si="18"/>
        <v>46673</v>
      </c>
      <c r="Q167" s="7">
        <v>0</v>
      </c>
      <c r="R167" s="59"/>
    </row>
    <row r="168" spans="1:18">
      <c r="A168" s="58" t="str">
        <f t="shared" si="19"/>
        <v>华北区山西省吕梁所</v>
      </c>
      <c r="B168" s="58" t="str">
        <f t="shared" si="20"/>
        <v>标箱组吕梁所</v>
      </c>
      <c r="C168" s="4">
        <v>128</v>
      </c>
      <c r="D168" s="4" t="s">
        <v>9</v>
      </c>
      <c r="E168" s="4" t="str">
        <f t="shared" si="15"/>
        <v>华北区</v>
      </c>
      <c r="F168" s="4" t="s">
        <v>56</v>
      </c>
      <c r="G168" s="4" t="s">
        <v>204</v>
      </c>
      <c r="H168" s="4" t="s">
        <v>209</v>
      </c>
      <c r="I168" s="83">
        <v>337.05</v>
      </c>
      <c r="J168" s="76">
        <f t="shared" ca="1" si="17"/>
        <v>9.6818949569693558E-2</v>
      </c>
      <c r="K168" s="4" t="str">
        <f t="shared" si="16"/>
        <v>是</v>
      </c>
      <c r="L168" s="4" t="s">
        <v>12</v>
      </c>
      <c r="M168" s="4"/>
      <c r="N168" s="4" t="s">
        <v>73</v>
      </c>
      <c r="O168" s="8"/>
      <c r="P168" s="84">
        <f t="shared" ca="1" si="18"/>
        <v>40270</v>
      </c>
      <c r="Q168" s="7">
        <v>0</v>
      </c>
      <c r="R168" s="59"/>
    </row>
    <row r="169" spans="1:18">
      <c r="A169" s="58" t="str">
        <f t="shared" si="19"/>
        <v>华北区山西省大同所</v>
      </c>
      <c r="B169" s="58" t="str">
        <f t="shared" si="20"/>
        <v>标箱组大同所</v>
      </c>
      <c r="C169" s="4">
        <v>129</v>
      </c>
      <c r="D169" s="4" t="s">
        <v>9</v>
      </c>
      <c r="E169" s="4" t="str">
        <f t="shared" ref="E169:E232" si="21">_xlfn.XLOOKUP($F169,F:F,E:E)</f>
        <v>华北区</v>
      </c>
      <c r="F169" s="4" t="s">
        <v>56</v>
      </c>
      <c r="G169" s="4" t="s">
        <v>204</v>
      </c>
      <c r="H169" s="4" t="s">
        <v>205</v>
      </c>
      <c r="I169" s="83">
        <v>309.99</v>
      </c>
      <c r="J169" s="76">
        <f t="shared" ca="1" si="17"/>
        <v>8.9045857223288255E-2</v>
      </c>
      <c r="K169" s="4" t="str">
        <f t="shared" ref="K169:K232" si="22">_xlfn.XLOOKUP(F169,F:F,K:K,0)</f>
        <v>是</v>
      </c>
      <c r="L169" s="4" t="s">
        <v>12</v>
      </c>
      <c r="M169" s="4"/>
      <c r="N169" s="4" t="s">
        <v>73</v>
      </c>
      <c r="O169" s="8"/>
      <c r="P169" s="84">
        <f t="shared" ca="1" si="18"/>
        <v>37037</v>
      </c>
      <c r="Q169" s="7">
        <v>0</v>
      </c>
      <c r="R169" s="59"/>
    </row>
    <row r="170" spans="1:18">
      <c r="A170" s="58" t="str">
        <f t="shared" si="19"/>
        <v>华北区山西省太原所</v>
      </c>
      <c r="B170" s="58" t="str">
        <f t="shared" si="20"/>
        <v>标箱组太原所</v>
      </c>
      <c r="C170" s="4">
        <v>130</v>
      </c>
      <c r="D170" s="4" t="s">
        <v>9</v>
      </c>
      <c r="E170" s="4" t="str">
        <f t="shared" si="21"/>
        <v>华北区</v>
      </c>
      <c r="F170" s="4" t="s">
        <v>56</v>
      </c>
      <c r="G170" s="4" t="s">
        <v>204</v>
      </c>
      <c r="H170" s="4" t="s">
        <v>211</v>
      </c>
      <c r="I170" s="83">
        <v>543.48</v>
      </c>
      <c r="J170" s="76">
        <f t="shared" ref="J170:J233" ca="1" si="23">I170/SUMIF($F$41:$G$456,$F170,$I$41:$I$456)</f>
        <v>0.15611678597281428</v>
      </c>
      <c r="K170" s="4" t="str">
        <f t="shared" si="22"/>
        <v>是</v>
      </c>
      <c r="L170" s="4" t="s">
        <v>12</v>
      </c>
      <c r="M170" s="4"/>
      <c r="N170" s="4" t="s">
        <v>73</v>
      </c>
      <c r="O170" s="8"/>
      <c r="P170" s="84">
        <f t="shared" ref="P170:P233" ca="1" si="24">ROUND(J170*VLOOKUP(F170,F:P,11,0),0)</f>
        <v>64934</v>
      </c>
      <c r="Q170" s="7">
        <v>0</v>
      </c>
      <c r="R170" s="59"/>
    </row>
    <row r="171" spans="1:18">
      <c r="A171" s="58" t="str">
        <f t="shared" si="19"/>
        <v>华北区山西省忻州所</v>
      </c>
      <c r="B171" s="58" t="str">
        <f t="shared" si="20"/>
        <v>标箱组忻州所</v>
      </c>
      <c r="C171" s="4">
        <v>131</v>
      </c>
      <c r="D171" s="4" t="s">
        <v>9</v>
      </c>
      <c r="E171" s="4" t="str">
        <f t="shared" si="21"/>
        <v>华北区</v>
      </c>
      <c r="F171" s="4" t="s">
        <v>56</v>
      </c>
      <c r="G171" s="4" t="s">
        <v>204</v>
      </c>
      <c r="H171" s="4" t="s">
        <v>213</v>
      </c>
      <c r="I171" s="83">
        <v>265.57</v>
      </c>
      <c r="J171" s="76">
        <f t="shared" ca="1" si="23"/>
        <v>7.6286036010157293E-2</v>
      </c>
      <c r="K171" s="4" t="str">
        <f t="shared" si="22"/>
        <v>是</v>
      </c>
      <c r="L171" s="4" t="s">
        <v>12</v>
      </c>
      <c r="M171" s="4"/>
      <c r="N171" s="4" t="s">
        <v>73</v>
      </c>
      <c r="O171" s="8"/>
      <c r="P171" s="84">
        <f t="shared" ca="1" si="24"/>
        <v>31730</v>
      </c>
      <c r="Q171" s="7">
        <v>0</v>
      </c>
      <c r="R171" s="59"/>
    </row>
    <row r="172" spans="1:18">
      <c r="A172" s="58" t="str">
        <f t="shared" si="19"/>
        <v>华北区山西省晋中所</v>
      </c>
      <c r="B172" s="58" t="str">
        <f t="shared" si="20"/>
        <v>标箱组晋中所</v>
      </c>
      <c r="C172" s="4">
        <v>132</v>
      </c>
      <c r="D172" s="4" t="s">
        <v>9</v>
      </c>
      <c r="E172" s="4" t="str">
        <f t="shared" si="21"/>
        <v>华北区</v>
      </c>
      <c r="F172" s="4" t="s">
        <v>56</v>
      </c>
      <c r="G172" s="4" t="s">
        <v>204</v>
      </c>
      <c r="H172" s="4" t="s">
        <v>207</v>
      </c>
      <c r="I172" s="83">
        <v>339.4</v>
      </c>
      <c r="J172" s="76">
        <f t="shared" ca="1" si="23"/>
        <v>9.7493996392090165E-2</v>
      </c>
      <c r="K172" s="4" t="str">
        <f t="shared" si="22"/>
        <v>是</v>
      </c>
      <c r="L172" s="4" t="s">
        <v>12</v>
      </c>
      <c r="M172" s="4"/>
      <c r="N172" s="4" t="s">
        <v>73</v>
      </c>
      <c r="O172" s="8"/>
      <c r="P172" s="84">
        <f t="shared" ca="1" si="24"/>
        <v>40551</v>
      </c>
      <c r="Q172" s="7">
        <v>0</v>
      </c>
      <c r="R172" s="59"/>
    </row>
    <row r="173" spans="1:18">
      <c r="A173" s="58" t="str">
        <f t="shared" si="19"/>
        <v>华北区山西省晋城所</v>
      </c>
      <c r="B173" s="58" t="str">
        <f t="shared" si="20"/>
        <v>标箱组晋城所</v>
      </c>
      <c r="C173" s="4">
        <v>133</v>
      </c>
      <c r="D173" s="4" t="s">
        <v>9</v>
      </c>
      <c r="E173" s="4" t="str">
        <f t="shared" si="21"/>
        <v>华北区</v>
      </c>
      <c r="F173" s="4" t="s">
        <v>56</v>
      </c>
      <c r="G173" s="4" t="s">
        <v>204</v>
      </c>
      <c r="H173" s="4" t="s">
        <v>206</v>
      </c>
      <c r="I173" s="83">
        <v>218.9</v>
      </c>
      <c r="J173" s="76">
        <f t="shared" ca="1" si="23"/>
        <v>6.2879893371327461E-2</v>
      </c>
      <c r="K173" s="4" t="str">
        <f t="shared" si="22"/>
        <v>是</v>
      </c>
      <c r="L173" s="4" t="s">
        <v>12</v>
      </c>
      <c r="M173" s="4"/>
      <c r="N173" s="4" t="s">
        <v>73</v>
      </c>
      <c r="O173" s="8"/>
      <c r="P173" s="84">
        <f t="shared" ca="1" si="24"/>
        <v>26154</v>
      </c>
      <c r="Q173" s="7">
        <v>0</v>
      </c>
      <c r="R173" s="59"/>
    </row>
    <row r="174" spans="1:18">
      <c r="A174" s="58" t="str">
        <f t="shared" si="19"/>
        <v>华北区山西省朔州所</v>
      </c>
      <c r="B174" s="58" t="str">
        <f t="shared" si="20"/>
        <v>标箱组朔州所</v>
      </c>
      <c r="C174" s="4">
        <v>134</v>
      </c>
      <c r="D174" s="4" t="s">
        <v>9</v>
      </c>
      <c r="E174" s="4" t="str">
        <f t="shared" si="21"/>
        <v>华北区</v>
      </c>
      <c r="F174" s="4" t="s">
        <v>56</v>
      </c>
      <c r="G174" s="4" t="s">
        <v>204</v>
      </c>
      <c r="H174" s="4" t="s">
        <v>210</v>
      </c>
      <c r="I174" s="83">
        <v>159.1</v>
      </c>
      <c r="J174" s="76">
        <f t="shared" ca="1" si="23"/>
        <v>4.5702106146085872E-2</v>
      </c>
      <c r="K174" s="4" t="str">
        <f t="shared" si="22"/>
        <v>是</v>
      </c>
      <c r="L174" s="4" t="s">
        <v>12</v>
      </c>
      <c r="M174" s="4"/>
      <c r="N174" s="4" t="s">
        <v>73</v>
      </c>
      <c r="O174" s="8"/>
      <c r="P174" s="84">
        <f t="shared" ca="1" si="24"/>
        <v>19009</v>
      </c>
      <c r="Q174" s="7">
        <v>0</v>
      </c>
      <c r="R174" s="59"/>
    </row>
    <row r="175" spans="1:18">
      <c r="A175" s="58" t="str">
        <f t="shared" si="19"/>
        <v>华北区山西省运城所</v>
      </c>
      <c r="B175" s="58" t="str">
        <f t="shared" si="20"/>
        <v>标箱组运城所</v>
      </c>
      <c r="C175" s="4">
        <v>135</v>
      </c>
      <c r="D175" s="4" t="s">
        <v>9</v>
      </c>
      <c r="E175" s="4" t="str">
        <f t="shared" si="21"/>
        <v>华北区</v>
      </c>
      <c r="F175" s="4" t="s">
        <v>56</v>
      </c>
      <c r="G175" s="4" t="s">
        <v>204</v>
      </c>
      <c r="H175" s="4" t="s">
        <v>215</v>
      </c>
      <c r="I175" s="83">
        <v>246.07</v>
      </c>
      <c r="J175" s="76">
        <f t="shared" ca="1" si="23"/>
        <v>7.0684583654100255E-2</v>
      </c>
      <c r="K175" s="4" t="str">
        <f t="shared" si="22"/>
        <v>是</v>
      </c>
      <c r="L175" s="4" t="s">
        <v>12</v>
      </c>
      <c r="M175" s="4"/>
      <c r="N175" s="4" t="s">
        <v>73</v>
      </c>
      <c r="O175" s="8"/>
      <c r="P175" s="84">
        <f t="shared" ca="1" si="24"/>
        <v>29400</v>
      </c>
      <c r="Q175" s="7">
        <v>0</v>
      </c>
      <c r="R175" s="59"/>
    </row>
    <row r="176" spans="1:18">
      <c r="A176" s="58" t="str">
        <f t="shared" si="19"/>
        <v>华北区山西省长治所</v>
      </c>
      <c r="B176" s="58" t="str">
        <f t="shared" si="20"/>
        <v>标箱组长治所</v>
      </c>
      <c r="C176" s="4">
        <v>136</v>
      </c>
      <c r="D176" s="4" t="s">
        <v>9</v>
      </c>
      <c r="E176" s="4" t="str">
        <f t="shared" si="21"/>
        <v>华北区</v>
      </c>
      <c r="F176" s="4" t="s">
        <v>56</v>
      </c>
      <c r="G176" s="4" t="s">
        <v>204</v>
      </c>
      <c r="H176" s="4" t="s">
        <v>216</v>
      </c>
      <c r="I176" s="83">
        <v>314.2</v>
      </c>
      <c r="J176" s="76">
        <f t="shared" ca="1" si="23"/>
        <v>9.0255196424262607E-2</v>
      </c>
      <c r="K176" s="4" t="str">
        <f t="shared" si="22"/>
        <v>是</v>
      </c>
      <c r="L176" s="4" t="s">
        <v>12</v>
      </c>
      <c r="M176" s="4"/>
      <c r="N176" s="4" t="s">
        <v>73</v>
      </c>
      <c r="O176" s="8"/>
      <c r="P176" s="84">
        <f t="shared" ca="1" si="24"/>
        <v>37540</v>
      </c>
      <c r="Q176" s="7">
        <v>0</v>
      </c>
      <c r="R176" s="59"/>
    </row>
    <row r="177" spans="1:18">
      <c r="A177" s="58" t="str">
        <f t="shared" si="19"/>
        <v>华北区山西省阳泉所</v>
      </c>
      <c r="B177" s="58" t="str">
        <f t="shared" si="20"/>
        <v>标箱组阳泉所</v>
      </c>
      <c r="C177" s="4">
        <v>137</v>
      </c>
      <c r="D177" s="4" t="s">
        <v>9</v>
      </c>
      <c r="E177" s="4" t="str">
        <f t="shared" si="21"/>
        <v>华北区</v>
      </c>
      <c r="F177" s="4" t="s">
        <v>56</v>
      </c>
      <c r="G177" s="4" t="s">
        <v>204</v>
      </c>
      <c r="H177" s="4" t="s">
        <v>214</v>
      </c>
      <c r="I177" s="83">
        <v>131.1</v>
      </c>
      <c r="J177" s="76">
        <f t="shared" ca="1" si="23"/>
        <v>3.7658995070721922E-2</v>
      </c>
      <c r="K177" s="4" t="str">
        <f t="shared" si="22"/>
        <v>是</v>
      </c>
      <c r="L177" s="4" t="s">
        <v>12</v>
      </c>
      <c r="M177" s="4"/>
      <c r="N177" s="4" t="s">
        <v>73</v>
      </c>
      <c r="O177" s="8"/>
      <c r="P177" s="84">
        <f t="shared" ca="1" si="24"/>
        <v>15664</v>
      </c>
      <c r="Q177" s="7">
        <v>0</v>
      </c>
      <c r="R177" s="59"/>
    </row>
    <row r="178" spans="1:18">
      <c r="A178" s="58" t="str">
        <f t="shared" si="19"/>
        <v>华北区河北省保定所</v>
      </c>
      <c r="B178" s="58" t="str">
        <f t="shared" si="20"/>
        <v>标箱组保定所</v>
      </c>
      <c r="C178" s="4">
        <v>138</v>
      </c>
      <c r="D178" s="4" t="s">
        <v>9</v>
      </c>
      <c r="E178" s="4" t="str">
        <f t="shared" si="21"/>
        <v>华北区</v>
      </c>
      <c r="F178" s="4" t="s">
        <v>54</v>
      </c>
      <c r="G178" s="4" t="s">
        <v>185</v>
      </c>
      <c r="H178" s="4" t="s">
        <v>186</v>
      </c>
      <c r="I178" s="83">
        <v>381.23</v>
      </c>
      <c r="J178" s="76">
        <f t="shared" ca="1" si="23"/>
        <v>7.5715386570911078E-2</v>
      </c>
      <c r="K178" s="4" t="str">
        <f t="shared" si="22"/>
        <v>是</v>
      </c>
      <c r="L178" s="4" t="s">
        <v>123</v>
      </c>
      <c r="M178" s="4" t="s">
        <v>11</v>
      </c>
      <c r="N178" s="4" t="s">
        <v>73</v>
      </c>
      <c r="O178" s="8">
        <v>80000</v>
      </c>
      <c r="P178" s="84">
        <f t="shared" ca="1" si="24"/>
        <v>45548</v>
      </c>
      <c r="Q178" s="7">
        <v>0</v>
      </c>
      <c r="R178" s="59"/>
    </row>
    <row r="179" spans="1:18">
      <c r="A179" s="58" t="str">
        <f t="shared" si="19"/>
        <v>华北区河北省定州所</v>
      </c>
      <c r="B179" s="58" t="str">
        <f t="shared" si="20"/>
        <v>标箱组定州所</v>
      </c>
      <c r="C179" s="4">
        <v>139</v>
      </c>
      <c r="D179" s="4" t="s">
        <v>9</v>
      </c>
      <c r="E179" s="4" t="str">
        <f t="shared" si="21"/>
        <v>华北区</v>
      </c>
      <c r="F179" s="4" t="s">
        <v>54</v>
      </c>
      <c r="G179" s="4" t="s">
        <v>185</v>
      </c>
      <c r="H179" s="4" t="s">
        <v>188</v>
      </c>
      <c r="I179" s="83">
        <v>379.79</v>
      </c>
      <c r="J179" s="76">
        <f t="shared" ca="1" si="23"/>
        <v>7.5429390829069895E-2</v>
      </c>
      <c r="K179" s="4" t="str">
        <f t="shared" si="22"/>
        <v>是</v>
      </c>
      <c r="L179" s="4" t="s">
        <v>123</v>
      </c>
      <c r="M179" s="4" t="s">
        <v>11</v>
      </c>
      <c r="N179" s="4" t="s">
        <v>73</v>
      </c>
      <c r="O179" s="8">
        <v>60000</v>
      </c>
      <c r="P179" s="84">
        <f t="shared" ca="1" si="24"/>
        <v>45376</v>
      </c>
      <c r="Q179" s="7">
        <v>0</v>
      </c>
      <c r="R179" s="59"/>
    </row>
    <row r="180" spans="1:18">
      <c r="A180" s="58" t="str">
        <f t="shared" si="19"/>
        <v>华北区河北省沧州所</v>
      </c>
      <c r="B180" s="58" t="str">
        <f t="shared" si="20"/>
        <v>标箱组沧州所</v>
      </c>
      <c r="C180" s="4">
        <v>140</v>
      </c>
      <c r="D180" s="4" t="s">
        <v>9</v>
      </c>
      <c r="E180" s="4" t="str">
        <f t="shared" si="21"/>
        <v>华北区</v>
      </c>
      <c r="F180" s="4" t="s">
        <v>54</v>
      </c>
      <c r="G180" s="4" t="s">
        <v>185</v>
      </c>
      <c r="H180" s="4" t="s">
        <v>187</v>
      </c>
      <c r="I180" s="83">
        <v>363.81</v>
      </c>
      <c r="J180" s="76">
        <f t="shared" ca="1" si="23"/>
        <v>7.225563252724905E-2</v>
      </c>
      <c r="K180" s="4" t="str">
        <f t="shared" si="22"/>
        <v>是</v>
      </c>
      <c r="L180" s="4" t="s">
        <v>121</v>
      </c>
      <c r="M180" s="4" t="s">
        <v>11</v>
      </c>
      <c r="N180" s="4" t="s">
        <v>73</v>
      </c>
      <c r="O180" s="8">
        <v>80000</v>
      </c>
      <c r="P180" s="84">
        <f t="shared" ca="1" si="24"/>
        <v>43467</v>
      </c>
      <c r="Q180" s="7">
        <v>0</v>
      </c>
      <c r="R180" s="59"/>
    </row>
    <row r="181" spans="1:18">
      <c r="A181" s="58" t="str">
        <f t="shared" si="19"/>
        <v>华北区河北省河间所</v>
      </c>
      <c r="B181" s="58" t="str">
        <f t="shared" si="20"/>
        <v>标箱组河间所</v>
      </c>
      <c r="C181" s="4">
        <v>141</v>
      </c>
      <c r="D181" s="4" t="s">
        <v>9</v>
      </c>
      <c r="E181" s="4" t="str">
        <f t="shared" si="21"/>
        <v>华北区</v>
      </c>
      <c r="F181" s="4" t="s">
        <v>54</v>
      </c>
      <c r="G181" s="4" t="s">
        <v>185</v>
      </c>
      <c r="H181" s="4" t="s">
        <v>189</v>
      </c>
      <c r="I181" s="83">
        <v>367.67</v>
      </c>
      <c r="J181" s="76">
        <f t="shared" ca="1" si="23"/>
        <v>7.3022260001906661E-2</v>
      </c>
      <c r="K181" s="4" t="str">
        <f t="shared" si="22"/>
        <v>是</v>
      </c>
      <c r="L181" s="4" t="s">
        <v>121</v>
      </c>
      <c r="M181" s="4" t="s">
        <v>11</v>
      </c>
      <c r="N181" s="4" t="s">
        <v>73</v>
      </c>
      <c r="O181" s="8">
        <v>60000</v>
      </c>
      <c r="P181" s="84">
        <f t="shared" ca="1" si="24"/>
        <v>43928</v>
      </c>
      <c r="Q181" s="7">
        <v>0</v>
      </c>
      <c r="R181" s="59"/>
    </row>
    <row r="182" spans="1:18">
      <c r="A182" s="58" t="str">
        <f t="shared" si="19"/>
        <v>华北区河北省衡水所</v>
      </c>
      <c r="B182" s="58" t="str">
        <f t="shared" si="20"/>
        <v>标箱组衡水所</v>
      </c>
      <c r="C182" s="4">
        <v>142</v>
      </c>
      <c r="D182" s="4" t="s">
        <v>9</v>
      </c>
      <c r="E182" s="4" t="str">
        <f t="shared" si="21"/>
        <v>华北区</v>
      </c>
      <c r="F182" s="4" t="s">
        <v>54</v>
      </c>
      <c r="G182" s="4" t="s">
        <v>185</v>
      </c>
      <c r="H182" s="4" t="s">
        <v>120</v>
      </c>
      <c r="I182" s="83">
        <v>416.66</v>
      </c>
      <c r="J182" s="76">
        <f t="shared" ca="1" si="23"/>
        <v>8.275207346912837E-2</v>
      </c>
      <c r="K182" s="4" t="str">
        <f t="shared" si="22"/>
        <v>是</v>
      </c>
      <c r="L182" s="4" t="s">
        <v>121</v>
      </c>
      <c r="M182" s="4" t="s">
        <v>28</v>
      </c>
      <c r="N182" s="4" t="s">
        <v>73</v>
      </c>
      <c r="O182" s="8">
        <v>140000</v>
      </c>
      <c r="P182" s="84">
        <f t="shared" ca="1" si="24"/>
        <v>49781</v>
      </c>
      <c r="Q182" s="7">
        <f>Q28/2</f>
        <v>418333.5</v>
      </c>
      <c r="R182" s="59"/>
    </row>
    <row r="183" spans="1:18">
      <c r="A183" s="58" t="str">
        <f t="shared" si="19"/>
        <v>华北区河北省高碑店所</v>
      </c>
      <c r="B183" s="58" t="str">
        <f t="shared" si="20"/>
        <v>标箱组高碑店所</v>
      </c>
      <c r="C183" s="4">
        <v>143</v>
      </c>
      <c r="D183" s="4" t="s">
        <v>9</v>
      </c>
      <c r="E183" s="4" t="str">
        <f t="shared" si="21"/>
        <v>华北区</v>
      </c>
      <c r="F183" s="4" t="s">
        <v>54</v>
      </c>
      <c r="G183" s="4" t="s">
        <v>185</v>
      </c>
      <c r="H183" s="4" t="s">
        <v>122</v>
      </c>
      <c r="I183" s="83">
        <v>382.66</v>
      </c>
      <c r="J183" s="76">
        <f t="shared" ca="1" si="23"/>
        <v>7.5999396231211686E-2</v>
      </c>
      <c r="K183" s="4" t="str">
        <f t="shared" si="22"/>
        <v>是</v>
      </c>
      <c r="L183" s="4" t="s">
        <v>123</v>
      </c>
      <c r="M183" s="4" t="s">
        <v>28</v>
      </c>
      <c r="N183" s="4" t="s">
        <v>73</v>
      </c>
      <c r="O183" s="8">
        <v>140000</v>
      </c>
      <c r="P183" s="84">
        <f t="shared" ca="1" si="24"/>
        <v>45719</v>
      </c>
      <c r="Q183" s="7">
        <f>Q28/2</f>
        <v>418333.5</v>
      </c>
      <c r="R183" s="59"/>
    </row>
    <row r="184" spans="1:18">
      <c r="A184" s="58" t="str">
        <f t="shared" si="19"/>
        <v>华北区河北省宁晋所</v>
      </c>
      <c r="B184" s="58" t="str">
        <f t="shared" si="20"/>
        <v>标箱组宁晋所</v>
      </c>
      <c r="C184" s="4">
        <v>144</v>
      </c>
      <c r="D184" s="4" t="s">
        <v>9</v>
      </c>
      <c r="E184" s="4" t="str">
        <f t="shared" si="21"/>
        <v>华北区</v>
      </c>
      <c r="F184" s="4" t="s">
        <v>54</v>
      </c>
      <c r="G184" s="4" t="s">
        <v>190</v>
      </c>
      <c r="H184" s="4" t="s">
        <v>193</v>
      </c>
      <c r="I184" s="83">
        <v>359.97</v>
      </c>
      <c r="J184" s="76">
        <f t="shared" ca="1" si="23"/>
        <v>7.149297721567259E-2</v>
      </c>
      <c r="K184" s="4" t="str">
        <f t="shared" si="22"/>
        <v>是</v>
      </c>
      <c r="L184" s="4" t="s">
        <v>12</v>
      </c>
      <c r="M184" s="4"/>
      <c r="N184" s="4" t="s">
        <v>73</v>
      </c>
      <c r="O184" s="8"/>
      <c r="P184" s="84">
        <f t="shared" ca="1" si="24"/>
        <v>43008</v>
      </c>
      <c r="Q184" s="7">
        <v>0</v>
      </c>
      <c r="R184" s="59"/>
    </row>
    <row r="185" spans="1:18">
      <c r="A185" s="58" t="str">
        <f t="shared" si="19"/>
        <v>华北区河北省石家庄东所</v>
      </c>
      <c r="B185" s="58" t="str">
        <f t="shared" si="20"/>
        <v>标箱组石家庄东所</v>
      </c>
      <c r="C185" s="4">
        <v>145</v>
      </c>
      <c r="D185" s="4" t="s">
        <v>9</v>
      </c>
      <c r="E185" s="4" t="str">
        <f t="shared" si="21"/>
        <v>华北区</v>
      </c>
      <c r="F185" s="4" t="s">
        <v>54</v>
      </c>
      <c r="G185" s="4" t="s">
        <v>190</v>
      </c>
      <c r="H185" s="4" t="s">
        <v>194</v>
      </c>
      <c r="I185" s="83">
        <v>549.73</v>
      </c>
      <c r="J185" s="76">
        <f t="shared" ca="1" si="23"/>
        <v>0.10918086052940992</v>
      </c>
      <c r="K185" s="4" t="str">
        <f t="shared" si="22"/>
        <v>是</v>
      </c>
      <c r="L185" s="4" t="s">
        <v>12</v>
      </c>
      <c r="M185" s="4"/>
      <c r="N185" s="4" t="s">
        <v>73</v>
      </c>
      <c r="O185" s="8"/>
      <c r="P185" s="84">
        <f t="shared" ca="1" si="24"/>
        <v>65680</v>
      </c>
      <c r="Q185" s="7">
        <v>0</v>
      </c>
      <c r="R185" s="59"/>
    </row>
    <row r="186" spans="1:18">
      <c r="A186" s="58" t="str">
        <f t="shared" si="19"/>
        <v>华北区河北省石家庄西所</v>
      </c>
      <c r="B186" s="58" t="str">
        <f t="shared" si="20"/>
        <v>标箱组石家庄西所</v>
      </c>
      <c r="C186" s="4">
        <v>146</v>
      </c>
      <c r="D186" s="4" t="s">
        <v>9</v>
      </c>
      <c r="E186" s="4" t="str">
        <f t="shared" si="21"/>
        <v>华北区</v>
      </c>
      <c r="F186" s="4" t="s">
        <v>54</v>
      </c>
      <c r="G186" s="4" t="s">
        <v>190</v>
      </c>
      <c r="H186" s="4" t="s">
        <v>195</v>
      </c>
      <c r="I186" s="83">
        <v>573.63</v>
      </c>
      <c r="J186" s="76">
        <f t="shared" ca="1" si="23"/>
        <v>0.11392759541135723</v>
      </c>
      <c r="K186" s="4" t="str">
        <f t="shared" si="22"/>
        <v>是</v>
      </c>
      <c r="L186" s="4" t="s">
        <v>12</v>
      </c>
      <c r="M186" s="4"/>
      <c r="N186" s="4" t="s">
        <v>73</v>
      </c>
      <c r="O186" s="8"/>
      <c r="P186" s="84">
        <f t="shared" ca="1" si="24"/>
        <v>68536</v>
      </c>
      <c r="Q186" s="7">
        <v>0</v>
      </c>
      <c r="R186" s="59"/>
    </row>
    <row r="187" spans="1:18">
      <c r="A187" s="58" t="str">
        <f t="shared" si="19"/>
        <v>华北区河北省邢台所</v>
      </c>
      <c r="B187" s="58" t="str">
        <f t="shared" si="20"/>
        <v>标箱组邢台所</v>
      </c>
      <c r="C187" s="4">
        <v>147</v>
      </c>
      <c r="D187" s="4" t="s">
        <v>9</v>
      </c>
      <c r="E187" s="4" t="str">
        <f t="shared" si="21"/>
        <v>华北区</v>
      </c>
      <c r="F187" s="4" t="s">
        <v>54</v>
      </c>
      <c r="G187" s="4" t="s">
        <v>190</v>
      </c>
      <c r="H187" s="4" t="s">
        <v>196</v>
      </c>
      <c r="I187" s="83">
        <v>342.59</v>
      </c>
      <c r="J187" s="76">
        <f t="shared" ca="1" si="23"/>
        <v>6.8041167498172808E-2</v>
      </c>
      <c r="K187" s="4" t="str">
        <f t="shared" si="22"/>
        <v>是</v>
      </c>
      <c r="L187" s="4" t="s">
        <v>12</v>
      </c>
      <c r="M187" s="4"/>
      <c r="N187" s="4" t="s">
        <v>73</v>
      </c>
      <c r="O187" s="8"/>
      <c r="P187" s="84">
        <f t="shared" ca="1" si="24"/>
        <v>40932</v>
      </c>
      <c r="Q187" s="7">
        <v>0</v>
      </c>
      <c r="R187" s="59"/>
    </row>
    <row r="188" spans="1:18">
      <c r="A188" s="58" t="str">
        <f t="shared" si="19"/>
        <v>华北区河北省邯郸东所</v>
      </c>
      <c r="B188" s="58" t="str">
        <f t="shared" si="20"/>
        <v>标箱组邯郸东所</v>
      </c>
      <c r="C188" s="4">
        <v>148</v>
      </c>
      <c r="D188" s="4" t="s">
        <v>9</v>
      </c>
      <c r="E188" s="4" t="str">
        <f t="shared" si="21"/>
        <v>华北区</v>
      </c>
      <c r="F188" s="4" t="s">
        <v>54</v>
      </c>
      <c r="G188" s="4" t="s">
        <v>190</v>
      </c>
      <c r="H188" s="4" t="s">
        <v>191</v>
      </c>
      <c r="I188" s="83">
        <v>563.65</v>
      </c>
      <c r="J188" s="76">
        <f t="shared" ca="1" si="23"/>
        <v>0.11194548603387462</v>
      </c>
      <c r="K188" s="4" t="str">
        <f t="shared" si="22"/>
        <v>是</v>
      </c>
      <c r="L188" s="4" t="s">
        <v>12</v>
      </c>
      <c r="M188" s="4"/>
      <c r="N188" s="4" t="s">
        <v>73</v>
      </c>
      <c r="O188" s="8"/>
      <c r="P188" s="84">
        <f t="shared" ca="1" si="24"/>
        <v>67343</v>
      </c>
      <c r="Q188" s="7">
        <v>0</v>
      </c>
      <c r="R188" s="59"/>
    </row>
    <row r="189" spans="1:18">
      <c r="A189" s="58" t="str">
        <f t="shared" si="19"/>
        <v>华北区河北省邯郸西所</v>
      </c>
      <c r="B189" s="58" t="str">
        <f t="shared" si="20"/>
        <v>标箱组邯郸西所</v>
      </c>
      <c r="C189" s="4">
        <v>149</v>
      </c>
      <c r="D189" s="4" t="s">
        <v>9</v>
      </c>
      <c r="E189" s="4" t="str">
        <f t="shared" si="21"/>
        <v>华北区</v>
      </c>
      <c r="F189" s="4" t="s">
        <v>54</v>
      </c>
      <c r="G189" s="4" t="s">
        <v>190</v>
      </c>
      <c r="H189" s="4" t="s">
        <v>192</v>
      </c>
      <c r="I189" s="83">
        <v>353.65</v>
      </c>
      <c r="J189" s="76">
        <f t="shared" ca="1" si="23"/>
        <v>7.0237773682036292E-2</v>
      </c>
      <c r="K189" s="4" t="str">
        <f t="shared" si="22"/>
        <v>是</v>
      </c>
      <c r="L189" s="4" t="s">
        <v>12</v>
      </c>
      <c r="M189" s="4"/>
      <c r="N189" s="4" t="s">
        <v>73</v>
      </c>
      <c r="O189" s="8"/>
      <c r="P189" s="84">
        <f t="shared" ca="1" si="24"/>
        <v>42253</v>
      </c>
      <c r="Q189" s="7">
        <v>0</v>
      </c>
      <c r="R189" s="59"/>
    </row>
    <row r="190" spans="1:18">
      <c r="A190" s="58" t="str">
        <f t="shared" si="19"/>
        <v>华南区广东省中山所</v>
      </c>
      <c r="B190" s="58" t="str">
        <f t="shared" si="20"/>
        <v>标箱组中山所</v>
      </c>
      <c r="C190" s="4">
        <v>150</v>
      </c>
      <c r="D190" s="4" t="s">
        <v>9</v>
      </c>
      <c r="E190" s="4" t="str">
        <f t="shared" si="21"/>
        <v>华南区</v>
      </c>
      <c r="F190" s="4" t="s">
        <v>37</v>
      </c>
      <c r="G190" s="4" t="s">
        <v>248</v>
      </c>
      <c r="H190" s="4" t="s">
        <v>256</v>
      </c>
      <c r="I190" s="83">
        <v>443.11</v>
      </c>
      <c r="J190" s="76">
        <f t="shared" ca="1" si="23"/>
        <v>3.4849993472163894E-2</v>
      </c>
      <c r="K190" s="4" t="str">
        <f t="shared" si="22"/>
        <v>否</v>
      </c>
      <c r="L190" s="4" t="s">
        <v>12</v>
      </c>
      <c r="M190" s="4"/>
      <c r="N190" s="4" t="s">
        <v>73</v>
      </c>
      <c r="O190" s="7"/>
      <c r="P190" s="84">
        <f t="shared" ca="1" si="24"/>
        <v>29204</v>
      </c>
      <c r="Q190" s="7">
        <v>0</v>
      </c>
      <c r="R190" s="59"/>
    </row>
    <row r="191" spans="1:18">
      <c r="A191" s="58" t="str">
        <f t="shared" si="19"/>
        <v>华南区广东省佛山所</v>
      </c>
      <c r="B191" s="58" t="str">
        <f t="shared" si="20"/>
        <v>标箱组佛山所</v>
      </c>
      <c r="C191" s="4">
        <v>151</v>
      </c>
      <c r="D191" s="4" t="s">
        <v>9</v>
      </c>
      <c r="E191" s="4" t="str">
        <f t="shared" si="21"/>
        <v>华南区</v>
      </c>
      <c r="F191" s="4" t="s">
        <v>37</v>
      </c>
      <c r="G191" s="4" t="s">
        <v>248</v>
      </c>
      <c r="H191" s="4" t="s">
        <v>249</v>
      </c>
      <c r="I191" s="83">
        <v>496.36</v>
      </c>
      <c r="J191" s="76">
        <f t="shared" ca="1" si="23"/>
        <v>3.9038032903439941E-2</v>
      </c>
      <c r="K191" s="4" t="str">
        <f t="shared" si="22"/>
        <v>否</v>
      </c>
      <c r="L191" s="4" t="s">
        <v>12</v>
      </c>
      <c r="M191" s="4"/>
      <c r="N191" s="4" t="s">
        <v>73</v>
      </c>
      <c r="O191" s="7"/>
      <c r="P191" s="84">
        <f t="shared" ca="1" si="24"/>
        <v>32714</v>
      </c>
      <c r="Q191" s="7">
        <v>0</v>
      </c>
      <c r="R191" s="59"/>
    </row>
    <row r="192" spans="1:18">
      <c r="A192" s="58" t="str">
        <f t="shared" si="19"/>
        <v>华南区广东省江门所</v>
      </c>
      <c r="B192" s="58" t="str">
        <f t="shared" si="20"/>
        <v>标箱组江门所</v>
      </c>
      <c r="C192" s="4">
        <v>152</v>
      </c>
      <c r="D192" s="4" t="s">
        <v>9</v>
      </c>
      <c r="E192" s="4" t="str">
        <f t="shared" si="21"/>
        <v>华南区</v>
      </c>
      <c r="F192" s="4" t="s">
        <v>37</v>
      </c>
      <c r="G192" s="4" t="s">
        <v>248</v>
      </c>
      <c r="H192" s="4" t="s">
        <v>251</v>
      </c>
      <c r="I192" s="83">
        <v>483.5</v>
      </c>
      <c r="J192" s="76">
        <f t="shared" ca="1" si="23"/>
        <v>3.8026611549708295E-2</v>
      </c>
      <c r="K192" s="4" t="str">
        <f t="shared" si="22"/>
        <v>否</v>
      </c>
      <c r="L192" s="4" t="s">
        <v>12</v>
      </c>
      <c r="M192" s="4"/>
      <c r="N192" s="4" t="s">
        <v>73</v>
      </c>
      <c r="O192" s="7"/>
      <c r="P192" s="84">
        <f t="shared" ca="1" si="24"/>
        <v>31866</v>
      </c>
      <c r="Q192" s="7">
        <v>0</v>
      </c>
      <c r="R192" s="59"/>
    </row>
    <row r="193" spans="1:18">
      <c r="A193" s="58" t="str">
        <f t="shared" si="19"/>
        <v>华南区广东省湛江所</v>
      </c>
      <c r="B193" s="58" t="str">
        <f t="shared" si="20"/>
        <v>标箱组湛江所</v>
      </c>
      <c r="C193" s="4">
        <v>153</v>
      </c>
      <c r="D193" s="4" t="s">
        <v>9</v>
      </c>
      <c r="E193" s="4" t="str">
        <f t="shared" si="21"/>
        <v>华南区</v>
      </c>
      <c r="F193" s="4" t="s">
        <v>37</v>
      </c>
      <c r="G193" s="4" t="s">
        <v>248</v>
      </c>
      <c r="H193" s="4" t="s">
        <v>255</v>
      </c>
      <c r="I193" s="83">
        <v>703.54</v>
      </c>
      <c r="J193" s="76">
        <f t="shared" ca="1" si="23"/>
        <v>5.5332455614646892E-2</v>
      </c>
      <c r="K193" s="4" t="str">
        <f t="shared" si="22"/>
        <v>否</v>
      </c>
      <c r="L193" s="4" t="s">
        <v>12</v>
      </c>
      <c r="M193" s="4"/>
      <c r="N193" s="4" t="s">
        <v>73</v>
      </c>
      <c r="O193" s="7"/>
      <c r="P193" s="84">
        <f t="shared" ca="1" si="24"/>
        <v>46369</v>
      </c>
      <c r="Q193" s="7">
        <v>0</v>
      </c>
      <c r="R193" s="59"/>
    </row>
    <row r="194" spans="1:18">
      <c r="A194" s="58" t="str">
        <f t="shared" si="19"/>
        <v>华南区广东省珠海所</v>
      </c>
      <c r="B194" s="58" t="str">
        <f t="shared" si="20"/>
        <v>标箱组珠海所</v>
      </c>
      <c r="C194" s="4">
        <v>154</v>
      </c>
      <c r="D194" s="4" t="s">
        <v>9</v>
      </c>
      <c r="E194" s="4" t="str">
        <f t="shared" si="21"/>
        <v>华南区</v>
      </c>
      <c r="F194" s="4" t="s">
        <v>37</v>
      </c>
      <c r="G194" s="4" t="s">
        <v>248</v>
      </c>
      <c r="H194" s="4" t="s">
        <v>257</v>
      </c>
      <c r="I194" s="83">
        <v>247.72</v>
      </c>
      <c r="J194" s="76">
        <f t="shared" ca="1" si="23"/>
        <v>1.9482838082923969E-2</v>
      </c>
      <c r="K194" s="4" t="str">
        <f t="shared" si="22"/>
        <v>否</v>
      </c>
      <c r="L194" s="4" t="s">
        <v>12</v>
      </c>
      <c r="M194" s="4"/>
      <c r="N194" s="4" t="s">
        <v>73</v>
      </c>
      <c r="O194" s="7"/>
      <c r="P194" s="84">
        <f t="shared" ca="1" si="24"/>
        <v>16327</v>
      </c>
      <c r="Q194" s="7">
        <v>0</v>
      </c>
      <c r="R194" s="59"/>
    </row>
    <row r="195" spans="1:18">
      <c r="A195" s="58" t="str">
        <f t="shared" si="19"/>
        <v>华南区广东省茂名所</v>
      </c>
      <c r="B195" s="58" t="str">
        <f t="shared" si="20"/>
        <v>标箱组茂名所</v>
      </c>
      <c r="C195" s="4">
        <v>155</v>
      </c>
      <c r="D195" s="4" t="s">
        <v>9</v>
      </c>
      <c r="E195" s="4" t="str">
        <f t="shared" si="21"/>
        <v>华南区</v>
      </c>
      <c r="F195" s="4" t="s">
        <v>37</v>
      </c>
      <c r="G195" s="4" t="s">
        <v>248</v>
      </c>
      <c r="H195" s="4" t="s">
        <v>252</v>
      </c>
      <c r="I195" s="83">
        <v>229.83</v>
      </c>
      <c r="J195" s="76">
        <f t="shared" ca="1" si="23"/>
        <v>1.8075814131270854E-2</v>
      </c>
      <c r="K195" s="4" t="str">
        <f t="shared" si="22"/>
        <v>否</v>
      </c>
      <c r="L195" s="4" t="s">
        <v>12</v>
      </c>
      <c r="M195" s="4"/>
      <c r="N195" s="4" t="s">
        <v>73</v>
      </c>
      <c r="O195" s="7"/>
      <c r="P195" s="84">
        <f t="shared" ca="1" si="24"/>
        <v>15148</v>
      </c>
      <c r="Q195" s="7">
        <v>0</v>
      </c>
      <c r="R195" s="59"/>
    </row>
    <row r="196" spans="1:18">
      <c r="A196" s="58" t="str">
        <f t="shared" ref="A196:A259" si="25">E196&amp;F196&amp;H196</f>
        <v>华南区广东省阳江所</v>
      </c>
      <c r="B196" s="58" t="str">
        <f t="shared" si="20"/>
        <v>标箱组阳江所</v>
      </c>
      <c r="C196" s="4">
        <v>156</v>
      </c>
      <c r="D196" s="4" t="s">
        <v>9</v>
      </c>
      <c r="E196" s="4" t="str">
        <f t="shared" si="21"/>
        <v>华南区</v>
      </c>
      <c r="F196" s="4" t="s">
        <v>37</v>
      </c>
      <c r="G196" s="4" t="s">
        <v>248</v>
      </c>
      <c r="H196" s="4" t="s">
        <v>254</v>
      </c>
      <c r="I196" s="83">
        <v>262.23</v>
      </c>
      <c r="J196" s="76">
        <f t="shared" ca="1" si="23"/>
        <v>2.0624029672554306E-2</v>
      </c>
      <c r="K196" s="4" t="str">
        <f t="shared" si="22"/>
        <v>否</v>
      </c>
      <c r="L196" s="4" t="s">
        <v>12</v>
      </c>
      <c r="M196" s="4"/>
      <c r="N196" s="4" t="s">
        <v>73</v>
      </c>
      <c r="O196" s="7"/>
      <c r="P196" s="84">
        <f t="shared" ca="1" si="24"/>
        <v>17283</v>
      </c>
      <c r="Q196" s="7">
        <v>0</v>
      </c>
      <c r="R196" s="59"/>
    </row>
    <row r="197" spans="1:18">
      <c r="A197" s="58" t="str">
        <f t="shared" si="25"/>
        <v>华南区广东省顺德所</v>
      </c>
      <c r="B197" s="58" t="str">
        <f t="shared" si="20"/>
        <v>标箱组顺德所</v>
      </c>
      <c r="C197" s="4">
        <v>157</v>
      </c>
      <c r="D197" s="4" t="s">
        <v>9</v>
      </c>
      <c r="E197" s="4" t="str">
        <f t="shared" si="21"/>
        <v>华南区</v>
      </c>
      <c r="F197" s="4" t="s">
        <v>37</v>
      </c>
      <c r="G197" s="4" t="s">
        <v>248</v>
      </c>
      <c r="H197" s="4" t="s">
        <v>253</v>
      </c>
      <c r="I197" s="83">
        <v>458.86</v>
      </c>
      <c r="J197" s="76">
        <f t="shared" ca="1" si="23"/>
        <v>3.6088709360287796E-2</v>
      </c>
      <c r="K197" s="4" t="str">
        <f t="shared" si="22"/>
        <v>否</v>
      </c>
      <c r="L197" s="4" t="s">
        <v>12</v>
      </c>
      <c r="M197" s="4"/>
      <c r="N197" s="4" t="s">
        <v>73</v>
      </c>
      <c r="O197" s="7"/>
      <c r="P197" s="84">
        <f t="shared" ca="1" si="24"/>
        <v>30243</v>
      </c>
      <c r="Q197" s="7">
        <v>0</v>
      </c>
      <c r="R197" s="59"/>
    </row>
    <row r="198" spans="1:18">
      <c r="A198" s="58" t="str">
        <f t="shared" si="25"/>
        <v>华南区广东省高州所</v>
      </c>
      <c r="B198" s="58" t="str">
        <f t="shared" si="20"/>
        <v>标箱组高州所</v>
      </c>
      <c r="C198" s="4">
        <v>158</v>
      </c>
      <c r="D198" s="4" t="s">
        <v>9</v>
      </c>
      <c r="E198" s="4" t="str">
        <f t="shared" si="21"/>
        <v>华南区</v>
      </c>
      <c r="F198" s="4" t="s">
        <v>37</v>
      </c>
      <c r="G198" s="4" t="s">
        <v>248</v>
      </c>
      <c r="H198" s="4" t="s">
        <v>250</v>
      </c>
      <c r="I198" s="83">
        <v>393.99</v>
      </c>
      <c r="J198" s="76">
        <f t="shared" ca="1" si="23"/>
        <v>3.0986772873773674E-2</v>
      </c>
      <c r="K198" s="4" t="str">
        <f t="shared" si="22"/>
        <v>否</v>
      </c>
      <c r="L198" s="4" t="s">
        <v>12</v>
      </c>
      <c r="M198" s="4"/>
      <c r="N198" s="4" t="s">
        <v>73</v>
      </c>
      <c r="O198" s="7"/>
      <c r="P198" s="84">
        <f t="shared" ca="1" si="24"/>
        <v>25967</v>
      </c>
      <c r="Q198" s="7">
        <v>0</v>
      </c>
      <c r="R198" s="59"/>
    </row>
    <row r="199" spans="1:18">
      <c r="A199" s="58" t="str">
        <f t="shared" si="25"/>
        <v>华南区广东省天河所</v>
      </c>
      <c r="B199" s="58" t="str">
        <f t="shared" si="20"/>
        <v>标箱组天河所</v>
      </c>
      <c r="C199" s="4">
        <v>159</v>
      </c>
      <c r="D199" s="4" t="s">
        <v>9</v>
      </c>
      <c r="E199" s="4" t="str">
        <f t="shared" si="21"/>
        <v>华南区</v>
      </c>
      <c r="F199" s="4" t="s">
        <v>37</v>
      </c>
      <c r="G199" s="4" t="s">
        <v>225</v>
      </c>
      <c r="H199" s="4" t="s">
        <v>230</v>
      </c>
      <c r="I199" s="83">
        <v>494.68</v>
      </c>
      <c r="J199" s="76">
        <f t="shared" ca="1" si="23"/>
        <v>3.8905903208706724E-2</v>
      </c>
      <c r="K199" s="4" t="str">
        <f t="shared" si="22"/>
        <v>否</v>
      </c>
      <c r="L199" s="4" t="s">
        <v>12</v>
      </c>
      <c r="M199" s="4"/>
      <c r="N199" s="4" t="s">
        <v>73</v>
      </c>
      <c r="O199" s="7"/>
      <c r="P199" s="84">
        <f t="shared" ca="1" si="24"/>
        <v>32603</v>
      </c>
      <c r="Q199" s="7">
        <v>0</v>
      </c>
      <c r="R199" s="59"/>
    </row>
    <row r="200" spans="1:18">
      <c r="A200" s="58" t="str">
        <f t="shared" si="25"/>
        <v>华南区广东省清远所</v>
      </c>
      <c r="B200" s="58" t="str">
        <f t="shared" si="20"/>
        <v>标箱组清远所</v>
      </c>
      <c r="C200" s="4">
        <v>160</v>
      </c>
      <c r="D200" s="4" t="s">
        <v>9</v>
      </c>
      <c r="E200" s="4" t="str">
        <f t="shared" si="21"/>
        <v>华南区</v>
      </c>
      <c r="F200" s="4" t="s">
        <v>37</v>
      </c>
      <c r="G200" s="4" t="s">
        <v>225</v>
      </c>
      <c r="H200" s="4" t="s">
        <v>228</v>
      </c>
      <c r="I200" s="83">
        <v>453.49</v>
      </c>
      <c r="J200" s="76">
        <f t="shared" ca="1" si="23"/>
        <v>3.5666366228908411E-2</v>
      </c>
      <c r="K200" s="4" t="str">
        <f t="shared" si="22"/>
        <v>否</v>
      </c>
      <c r="L200" s="4" t="s">
        <v>12</v>
      </c>
      <c r="M200" s="4"/>
      <c r="N200" s="4" t="s">
        <v>73</v>
      </c>
      <c r="O200" s="7"/>
      <c r="P200" s="84">
        <f t="shared" ca="1" si="24"/>
        <v>29889</v>
      </c>
      <c r="Q200" s="7">
        <v>0</v>
      </c>
      <c r="R200" s="59"/>
    </row>
    <row r="201" spans="1:18">
      <c r="A201" s="58" t="str">
        <f t="shared" si="25"/>
        <v>华南区广东省番禺所</v>
      </c>
      <c r="B201" s="58" t="str">
        <f t="shared" si="20"/>
        <v>标箱组番禺所</v>
      </c>
      <c r="C201" s="4">
        <v>161</v>
      </c>
      <c r="D201" s="4" t="s">
        <v>9</v>
      </c>
      <c r="E201" s="4" t="str">
        <f t="shared" si="21"/>
        <v>华南区</v>
      </c>
      <c r="F201" s="4" t="s">
        <v>37</v>
      </c>
      <c r="G201" s="4" t="s">
        <v>225</v>
      </c>
      <c r="H201" s="4" t="s">
        <v>227</v>
      </c>
      <c r="I201" s="83">
        <v>286.7</v>
      </c>
      <c r="J201" s="76">
        <f t="shared" ca="1" si="23"/>
        <v>2.2548561595245847E-2</v>
      </c>
      <c r="K201" s="4" t="str">
        <f t="shared" si="22"/>
        <v>否</v>
      </c>
      <c r="L201" s="4" t="s">
        <v>12</v>
      </c>
      <c r="M201" s="4"/>
      <c r="N201" s="4" t="s">
        <v>73</v>
      </c>
      <c r="O201" s="7"/>
      <c r="P201" s="84">
        <f t="shared" ca="1" si="24"/>
        <v>18896</v>
      </c>
      <c r="Q201" s="7">
        <v>0</v>
      </c>
      <c r="R201" s="59"/>
    </row>
    <row r="202" spans="1:18">
      <c r="A202" s="58" t="str">
        <f t="shared" si="25"/>
        <v>华南区广东省白云所</v>
      </c>
      <c r="B202" s="58" t="str">
        <f t="shared" ref="B202:B265" si="26">IF(N202="省区总监",D202&amp;F202,D202&amp;H202)</f>
        <v>标箱组白云所</v>
      </c>
      <c r="C202" s="4">
        <v>162</v>
      </c>
      <c r="D202" s="4" t="s">
        <v>9</v>
      </c>
      <c r="E202" s="4" t="str">
        <f t="shared" si="21"/>
        <v>华南区</v>
      </c>
      <c r="F202" s="4" t="s">
        <v>37</v>
      </c>
      <c r="G202" s="4" t="s">
        <v>225</v>
      </c>
      <c r="H202" s="4" t="s">
        <v>226</v>
      </c>
      <c r="I202" s="83">
        <v>490.7</v>
      </c>
      <c r="J202" s="76">
        <f t="shared" ca="1" si="23"/>
        <v>3.8592881669993508E-2</v>
      </c>
      <c r="K202" s="4" t="str">
        <f t="shared" si="22"/>
        <v>否</v>
      </c>
      <c r="L202" s="4" t="s">
        <v>12</v>
      </c>
      <c r="M202" s="4"/>
      <c r="N202" s="4" t="s">
        <v>73</v>
      </c>
      <c r="O202" s="7"/>
      <c r="P202" s="84">
        <f t="shared" ca="1" si="24"/>
        <v>32341</v>
      </c>
      <c r="Q202" s="7">
        <v>0</v>
      </c>
      <c r="R202" s="59"/>
    </row>
    <row r="203" spans="1:18">
      <c r="A203" s="58" t="str">
        <f t="shared" si="25"/>
        <v>华南区广东省肇庆所</v>
      </c>
      <c r="B203" s="58" t="str">
        <f t="shared" si="26"/>
        <v>标箱组肇庆所</v>
      </c>
      <c r="C203" s="4">
        <v>163</v>
      </c>
      <c r="D203" s="4" t="s">
        <v>9</v>
      </c>
      <c r="E203" s="4" t="str">
        <f t="shared" si="21"/>
        <v>华南区</v>
      </c>
      <c r="F203" s="4" t="s">
        <v>37</v>
      </c>
      <c r="G203" s="4" t="s">
        <v>225</v>
      </c>
      <c r="H203" s="4" t="s">
        <v>232</v>
      </c>
      <c r="I203" s="83">
        <v>652.48</v>
      </c>
      <c r="J203" s="76">
        <f t="shared" ca="1" si="23"/>
        <v>5.1316656678290939E-2</v>
      </c>
      <c r="K203" s="4" t="str">
        <f t="shared" si="22"/>
        <v>否</v>
      </c>
      <c r="L203" s="4" t="s">
        <v>12</v>
      </c>
      <c r="M203" s="4"/>
      <c r="N203" s="4" t="s">
        <v>73</v>
      </c>
      <c r="O203" s="7"/>
      <c r="P203" s="84">
        <f t="shared" ca="1" si="24"/>
        <v>43004</v>
      </c>
      <c r="Q203" s="7">
        <v>0</v>
      </c>
      <c r="R203" s="59"/>
    </row>
    <row r="204" spans="1:18">
      <c r="A204" s="58" t="str">
        <f t="shared" si="25"/>
        <v>华南区广东省越秀所</v>
      </c>
      <c r="B204" s="58" t="str">
        <f t="shared" si="26"/>
        <v>标箱组越秀所</v>
      </c>
      <c r="C204" s="4">
        <v>164</v>
      </c>
      <c r="D204" s="4" t="s">
        <v>9</v>
      </c>
      <c r="E204" s="4" t="str">
        <f t="shared" si="21"/>
        <v>华南区</v>
      </c>
      <c r="F204" s="4" t="s">
        <v>37</v>
      </c>
      <c r="G204" s="4" t="s">
        <v>225</v>
      </c>
      <c r="H204" s="4" t="s">
        <v>231</v>
      </c>
      <c r="I204" s="83">
        <v>601.34</v>
      </c>
      <c r="J204" s="76">
        <f t="shared" ca="1" si="23"/>
        <v>4.7294565851709595E-2</v>
      </c>
      <c r="K204" s="4" t="str">
        <f t="shared" si="22"/>
        <v>否</v>
      </c>
      <c r="L204" s="4" t="s">
        <v>12</v>
      </c>
      <c r="M204" s="4"/>
      <c r="N204" s="4" t="s">
        <v>73</v>
      </c>
      <c r="O204" s="7"/>
      <c r="P204" s="84">
        <f t="shared" ca="1" si="24"/>
        <v>39633</v>
      </c>
      <c r="Q204" s="7">
        <v>0</v>
      </c>
      <c r="R204" s="59"/>
    </row>
    <row r="205" spans="1:18">
      <c r="A205" s="58" t="str">
        <f t="shared" si="25"/>
        <v>华南区广东省韶关所</v>
      </c>
      <c r="B205" s="58" t="str">
        <f t="shared" si="26"/>
        <v>标箱组韶关所</v>
      </c>
      <c r="C205" s="4">
        <v>165</v>
      </c>
      <c r="D205" s="4" t="s">
        <v>9</v>
      </c>
      <c r="E205" s="4" t="str">
        <f t="shared" si="21"/>
        <v>华南区</v>
      </c>
      <c r="F205" s="4" t="s">
        <v>37</v>
      </c>
      <c r="G205" s="4" t="s">
        <v>225</v>
      </c>
      <c r="H205" s="4" t="s">
        <v>229</v>
      </c>
      <c r="I205" s="83">
        <v>286.19</v>
      </c>
      <c r="J205" s="76">
        <f t="shared" ca="1" si="23"/>
        <v>2.250845079505898E-2</v>
      </c>
      <c r="K205" s="4" t="str">
        <f t="shared" si="22"/>
        <v>否</v>
      </c>
      <c r="L205" s="4" t="s">
        <v>12</v>
      </c>
      <c r="M205" s="4"/>
      <c r="N205" s="4" t="s">
        <v>73</v>
      </c>
      <c r="O205" s="7"/>
      <c r="P205" s="84">
        <f t="shared" ca="1" si="24"/>
        <v>18862</v>
      </c>
      <c r="Q205" s="7">
        <v>0</v>
      </c>
      <c r="R205" s="59"/>
    </row>
    <row r="206" spans="1:18">
      <c r="A206" s="58" t="str">
        <f t="shared" si="25"/>
        <v>华南区广东省揭阳所</v>
      </c>
      <c r="B206" s="58" t="str">
        <f t="shared" si="26"/>
        <v>标箱组揭阳所</v>
      </c>
      <c r="C206" s="4">
        <v>166</v>
      </c>
      <c r="D206" s="4" t="s">
        <v>9</v>
      </c>
      <c r="E206" s="4" t="str">
        <f t="shared" si="21"/>
        <v>华南区</v>
      </c>
      <c r="F206" s="4" t="s">
        <v>37</v>
      </c>
      <c r="G206" s="4" t="s">
        <v>233</v>
      </c>
      <c r="H206" s="4" t="s">
        <v>237</v>
      </c>
      <c r="I206" s="83">
        <v>565.15</v>
      </c>
      <c r="J206" s="76">
        <f t="shared" ca="1" si="23"/>
        <v>4.4448272010998227E-2</v>
      </c>
      <c r="K206" s="4" t="str">
        <f t="shared" si="22"/>
        <v>否</v>
      </c>
      <c r="L206" s="4" t="s">
        <v>12</v>
      </c>
      <c r="M206" s="4"/>
      <c r="N206" s="4" t="s">
        <v>73</v>
      </c>
      <c r="O206" s="7"/>
      <c r="P206" s="84">
        <f t="shared" ca="1" si="24"/>
        <v>37248</v>
      </c>
      <c r="Q206" s="7">
        <v>0</v>
      </c>
      <c r="R206" s="59"/>
    </row>
    <row r="207" spans="1:18">
      <c r="A207" s="58" t="str">
        <f t="shared" si="25"/>
        <v>华南区广东省梅州所</v>
      </c>
      <c r="B207" s="58" t="str">
        <f t="shared" si="26"/>
        <v>标箱组梅州所</v>
      </c>
      <c r="C207" s="4">
        <v>167</v>
      </c>
      <c r="D207" s="4" t="s">
        <v>9</v>
      </c>
      <c r="E207" s="4" t="str">
        <f t="shared" si="21"/>
        <v>华南区</v>
      </c>
      <c r="F207" s="4" t="s">
        <v>37</v>
      </c>
      <c r="G207" s="4" t="s">
        <v>233</v>
      </c>
      <c r="H207" s="4" t="s">
        <v>238</v>
      </c>
      <c r="I207" s="83">
        <v>385.81</v>
      </c>
      <c r="J207" s="76">
        <f t="shared" ca="1" si="23"/>
        <v>3.0343427098227418E-2</v>
      </c>
      <c r="K207" s="4" t="str">
        <f t="shared" si="22"/>
        <v>否</v>
      </c>
      <c r="L207" s="4" t="s">
        <v>12</v>
      </c>
      <c r="M207" s="4"/>
      <c r="N207" s="4" t="s">
        <v>73</v>
      </c>
      <c r="O207" s="7"/>
      <c r="P207" s="84">
        <f t="shared" ca="1" si="24"/>
        <v>25428</v>
      </c>
      <c r="Q207" s="7">
        <v>0</v>
      </c>
      <c r="R207" s="59"/>
    </row>
    <row r="208" spans="1:18">
      <c r="A208" s="58" t="str">
        <f t="shared" si="25"/>
        <v>华南区广东省汕头所</v>
      </c>
      <c r="B208" s="58" t="str">
        <f t="shared" si="26"/>
        <v>标箱组汕头所</v>
      </c>
      <c r="C208" s="4">
        <v>168</v>
      </c>
      <c r="D208" s="4" t="s">
        <v>9</v>
      </c>
      <c r="E208" s="4" t="str">
        <f t="shared" si="21"/>
        <v>华南区</v>
      </c>
      <c r="F208" s="4" t="s">
        <v>37</v>
      </c>
      <c r="G208" s="4" t="s">
        <v>233</v>
      </c>
      <c r="H208" s="4" t="s">
        <v>239</v>
      </c>
      <c r="I208" s="83">
        <v>197.12</v>
      </c>
      <c r="J208" s="76">
        <f t="shared" ca="1" si="23"/>
        <v>1.5503217515364012E-2</v>
      </c>
      <c r="K208" s="4" t="str">
        <f t="shared" si="22"/>
        <v>否</v>
      </c>
      <c r="L208" s="4" t="s">
        <v>12</v>
      </c>
      <c r="M208" s="4"/>
      <c r="N208" s="4" t="s">
        <v>73</v>
      </c>
      <c r="O208" s="7"/>
      <c r="P208" s="84">
        <f t="shared" ca="1" si="24"/>
        <v>12992</v>
      </c>
      <c r="Q208" s="7">
        <v>0</v>
      </c>
      <c r="R208" s="59"/>
    </row>
    <row r="209" spans="1:18">
      <c r="A209" s="58" t="str">
        <f t="shared" si="25"/>
        <v>华南区广东省汕尾所</v>
      </c>
      <c r="B209" s="58" t="str">
        <f t="shared" si="26"/>
        <v>标箱组汕尾所</v>
      </c>
      <c r="C209" s="4">
        <v>169</v>
      </c>
      <c r="D209" s="4" t="s">
        <v>9</v>
      </c>
      <c r="E209" s="4" t="str">
        <f t="shared" si="21"/>
        <v>华南区</v>
      </c>
      <c r="F209" s="4" t="s">
        <v>37</v>
      </c>
      <c r="G209" s="4" t="s">
        <v>233</v>
      </c>
      <c r="H209" s="4" t="s">
        <v>240</v>
      </c>
      <c r="I209" s="83">
        <v>268.26</v>
      </c>
      <c r="J209" s="76">
        <f t="shared" ca="1" si="23"/>
        <v>2.109828089829317E-2</v>
      </c>
      <c r="K209" s="4" t="str">
        <f t="shared" si="22"/>
        <v>否</v>
      </c>
      <c r="L209" s="4" t="s">
        <v>12</v>
      </c>
      <c r="M209" s="4"/>
      <c r="N209" s="4" t="s">
        <v>73</v>
      </c>
      <c r="O209" s="7"/>
      <c r="P209" s="84">
        <f t="shared" ca="1" si="24"/>
        <v>17680</v>
      </c>
      <c r="Q209" s="7">
        <v>0</v>
      </c>
      <c r="R209" s="59"/>
    </row>
    <row r="210" spans="1:18">
      <c r="A210" s="58" t="str">
        <f t="shared" si="25"/>
        <v>华南区广东省河源所</v>
      </c>
      <c r="B210" s="58" t="str">
        <f t="shared" si="26"/>
        <v>标箱组河源所</v>
      </c>
      <c r="C210" s="4">
        <v>170</v>
      </c>
      <c r="D210" s="4" t="s">
        <v>9</v>
      </c>
      <c r="E210" s="4" t="str">
        <f t="shared" si="21"/>
        <v>华南区</v>
      </c>
      <c r="F210" s="4" t="s">
        <v>37</v>
      </c>
      <c r="G210" s="4" t="s">
        <v>233</v>
      </c>
      <c r="H210" s="4" t="s">
        <v>236</v>
      </c>
      <c r="I210" s="83">
        <v>284.17</v>
      </c>
      <c r="J210" s="76">
        <f t="shared" ca="1" si="23"/>
        <v>2.2349580566867852E-2</v>
      </c>
      <c r="K210" s="4" t="str">
        <f t="shared" si="22"/>
        <v>否</v>
      </c>
      <c r="L210" s="4" t="s">
        <v>12</v>
      </c>
      <c r="M210" s="4"/>
      <c r="N210" s="4" t="s">
        <v>73</v>
      </c>
      <c r="O210" s="7"/>
      <c r="P210" s="84">
        <f t="shared" ca="1" si="24"/>
        <v>18729</v>
      </c>
      <c r="Q210" s="7">
        <v>0</v>
      </c>
      <c r="R210" s="59"/>
    </row>
    <row r="211" spans="1:18">
      <c r="A211" s="58" t="str">
        <f t="shared" si="25"/>
        <v>华南区广东省潮州所</v>
      </c>
      <c r="B211" s="58" t="str">
        <f t="shared" si="26"/>
        <v>标箱组潮州所</v>
      </c>
      <c r="C211" s="4">
        <v>171</v>
      </c>
      <c r="D211" s="4" t="s">
        <v>9</v>
      </c>
      <c r="E211" s="4" t="str">
        <f t="shared" si="21"/>
        <v>华南区</v>
      </c>
      <c r="F211" s="4" t="s">
        <v>37</v>
      </c>
      <c r="G211" s="4" t="s">
        <v>233</v>
      </c>
      <c r="H211" s="4" t="s">
        <v>235</v>
      </c>
      <c r="I211" s="83">
        <v>257.56</v>
      </c>
      <c r="J211" s="76">
        <f t="shared" ca="1" si="23"/>
        <v>2.0256740580647092E-2</v>
      </c>
      <c r="K211" s="4" t="str">
        <f t="shared" si="22"/>
        <v>否</v>
      </c>
      <c r="L211" s="4" t="s">
        <v>12</v>
      </c>
      <c r="M211" s="4"/>
      <c r="N211" s="4" t="s">
        <v>73</v>
      </c>
      <c r="O211" s="7"/>
      <c r="P211" s="84">
        <f t="shared" ca="1" si="24"/>
        <v>16975</v>
      </c>
      <c r="Q211" s="7">
        <v>0</v>
      </c>
      <c r="R211" s="59"/>
    </row>
    <row r="212" spans="1:18">
      <c r="A212" s="58" t="str">
        <f t="shared" si="25"/>
        <v>华南区广东省潮阳所</v>
      </c>
      <c r="B212" s="58" t="str">
        <f t="shared" si="26"/>
        <v>标箱组潮阳所</v>
      </c>
      <c r="C212" s="4">
        <v>172</v>
      </c>
      <c r="D212" s="4" t="s">
        <v>9</v>
      </c>
      <c r="E212" s="4" t="str">
        <f t="shared" si="21"/>
        <v>华南区</v>
      </c>
      <c r="F212" s="4" t="s">
        <v>37</v>
      </c>
      <c r="G212" s="4" t="s">
        <v>233</v>
      </c>
      <c r="H212" s="4" t="s">
        <v>234</v>
      </c>
      <c r="I212" s="83">
        <v>357.08</v>
      </c>
      <c r="J212" s="76">
        <f t="shared" ca="1" si="23"/>
        <v>2.8083852021033789E-2</v>
      </c>
      <c r="K212" s="4" t="str">
        <f t="shared" si="22"/>
        <v>否</v>
      </c>
      <c r="L212" s="4" t="s">
        <v>12</v>
      </c>
      <c r="M212" s="4"/>
      <c r="N212" s="4" t="s">
        <v>73</v>
      </c>
      <c r="O212" s="7"/>
      <c r="P212" s="84">
        <f t="shared" ca="1" si="24"/>
        <v>23534</v>
      </c>
      <c r="Q212" s="7">
        <v>0</v>
      </c>
      <c r="R212" s="59"/>
    </row>
    <row r="213" spans="1:18">
      <c r="A213" s="58" t="str">
        <f t="shared" si="25"/>
        <v>华南区广东省塘厦所</v>
      </c>
      <c r="B213" s="58" t="str">
        <f t="shared" si="26"/>
        <v>标箱组塘厦所</v>
      </c>
      <c r="C213" s="4">
        <v>173</v>
      </c>
      <c r="D213" s="4" t="s">
        <v>9</v>
      </c>
      <c r="E213" s="4" t="str">
        <f t="shared" si="21"/>
        <v>华南区</v>
      </c>
      <c r="F213" s="4" t="s">
        <v>37</v>
      </c>
      <c r="G213" s="4" t="s">
        <v>241</v>
      </c>
      <c r="H213" s="4" t="s">
        <v>247</v>
      </c>
      <c r="I213" s="83">
        <v>199.98</v>
      </c>
      <c r="J213" s="76">
        <f t="shared" ca="1" si="23"/>
        <v>1.5728152590921748E-2</v>
      </c>
      <c r="K213" s="4" t="str">
        <f t="shared" si="22"/>
        <v>否</v>
      </c>
      <c r="L213" s="4" t="s">
        <v>12</v>
      </c>
      <c r="M213" s="4"/>
      <c r="N213" s="4" t="s">
        <v>73</v>
      </c>
      <c r="O213" s="7"/>
      <c r="P213" s="84">
        <f t="shared" ca="1" si="24"/>
        <v>13180</v>
      </c>
      <c r="Q213" s="7">
        <v>0</v>
      </c>
      <c r="R213" s="59"/>
    </row>
    <row r="214" spans="1:18">
      <c r="A214" s="58" t="str">
        <f t="shared" si="25"/>
        <v>华南区广东省惠州所</v>
      </c>
      <c r="B214" s="58" t="str">
        <f t="shared" si="26"/>
        <v>标箱组惠州所</v>
      </c>
      <c r="C214" s="4">
        <v>174</v>
      </c>
      <c r="D214" s="4" t="s">
        <v>9</v>
      </c>
      <c r="E214" s="4" t="str">
        <f t="shared" si="21"/>
        <v>华南区</v>
      </c>
      <c r="F214" s="4" t="s">
        <v>37</v>
      </c>
      <c r="G214" s="4" t="s">
        <v>241</v>
      </c>
      <c r="H214" s="4" t="s">
        <v>244</v>
      </c>
      <c r="I214" s="83">
        <v>605.02</v>
      </c>
      <c r="J214" s="76">
        <f t="shared" ca="1" si="23"/>
        <v>4.7583992802077583E-2</v>
      </c>
      <c r="K214" s="4" t="str">
        <f t="shared" si="22"/>
        <v>否</v>
      </c>
      <c r="L214" s="4" t="s">
        <v>12</v>
      </c>
      <c r="M214" s="4"/>
      <c r="N214" s="4" t="s">
        <v>73</v>
      </c>
      <c r="O214" s="7"/>
      <c r="P214" s="84">
        <f t="shared" ca="1" si="24"/>
        <v>39876</v>
      </c>
      <c r="Q214" s="7">
        <v>0</v>
      </c>
      <c r="R214" s="59"/>
    </row>
    <row r="215" spans="1:18">
      <c r="A215" s="58" t="str">
        <f t="shared" si="25"/>
        <v>华南区广东省罗湖所</v>
      </c>
      <c r="B215" s="58" t="str">
        <f t="shared" si="26"/>
        <v>标箱组罗湖所</v>
      </c>
      <c r="C215" s="4">
        <v>175</v>
      </c>
      <c r="D215" s="4" t="s">
        <v>9</v>
      </c>
      <c r="E215" s="4" t="str">
        <f t="shared" si="21"/>
        <v>华南区</v>
      </c>
      <c r="F215" s="4" t="s">
        <v>37</v>
      </c>
      <c r="G215" s="4" t="s">
        <v>241</v>
      </c>
      <c r="H215" s="4" t="s">
        <v>246</v>
      </c>
      <c r="I215" s="83">
        <v>590.04</v>
      </c>
      <c r="J215" s="76">
        <f t="shared" ca="1" si="23"/>
        <v>4.6405836357373074E-2</v>
      </c>
      <c r="K215" s="4" t="str">
        <f t="shared" si="22"/>
        <v>否</v>
      </c>
      <c r="L215" s="4" t="s">
        <v>12</v>
      </c>
      <c r="M215" s="4"/>
      <c r="N215" s="4" t="s">
        <v>73</v>
      </c>
      <c r="O215" s="7"/>
      <c r="P215" s="84">
        <f t="shared" ca="1" si="24"/>
        <v>38888</v>
      </c>
      <c r="Q215" s="7">
        <v>0</v>
      </c>
      <c r="R215" s="59"/>
    </row>
    <row r="216" spans="1:18">
      <c r="A216" s="58" t="str">
        <f t="shared" si="25"/>
        <v>华南区广东省莞城所</v>
      </c>
      <c r="B216" s="58" t="str">
        <f t="shared" si="26"/>
        <v>标箱组莞城所</v>
      </c>
      <c r="C216" s="4">
        <v>176</v>
      </c>
      <c r="D216" s="4" t="s">
        <v>9</v>
      </c>
      <c r="E216" s="4" t="str">
        <f t="shared" si="21"/>
        <v>华南区</v>
      </c>
      <c r="F216" s="4" t="s">
        <v>37</v>
      </c>
      <c r="G216" s="4" t="s">
        <v>241</v>
      </c>
      <c r="H216" s="4" t="s">
        <v>242</v>
      </c>
      <c r="I216" s="83">
        <v>580.72</v>
      </c>
      <c r="J216" s="76">
        <f t="shared" ca="1" si="23"/>
        <v>4.5672831146114999E-2</v>
      </c>
      <c r="K216" s="4" t="str">
        <f t="shared" si="22"/>
        <v>否</v>
      </c>
      <c r="L216" s="4" t="s">
        <v>12</v>
      </c>
      <c r="M216" s="4"/>
      <c r="N216" s="4" t="s">
        <v>73</v>
      </c>
      <c r="O216" s="7"/>
      <c r="P216" s="84">
        <f t="shared" ca="1" si="24"/>
        <v>38274</v>
      </c>
      <c r="Q216" s="7">
        <v>0</v>
      </c>
      <c r="R216" s="59"/>
    </row>
    <row r="217" spans="1:18">
      <c r="A217" s="58" t="str">
        <f t="shared" si="25"/>
        <v>华南区广东省虎门所</v>
      </c>
      <c r="B217" s="58" t="str">
        <f t="shared" si="26"/>
        <v>标箱组虎门所</v>
      </c>
      <c r="C217" s="4">
        <v>177</v>
      </c>
      <c r="D217" s="4" t="s">
        <v>9</v>
      </c>
      <c r="E217" s="4" t="str">
        <f t="shared" si="21"/>
        <v>华南区</v>
      </c>
      <c r="F217" s="4" t="s">
        <v>37</v>
      </c>
      <c r="G217" s="4" t="s">
        <v>241</v>
      </c>
      <c r="H217" s="4" t="s">
        <v>243</v>
      </c>
      <c r="I217" s="83">
        <v>263</v>
      </c>
      <c r="J217" s="76">
        <f t="shared" ca="1" si="23"/>
        <v>2.0684589115973696E-2</v>
      </c>
      <c r="K217" s="4" t="str">
        <f t="shared" si="22"/>
        <v>否</v>
      </c>
      <c r="L217" s="4" t="s">
        <v>12</v>
      </c>
      <c r="M217" s="4"/>
      <c r="N217" s="4" t="s">
        <v>73</v>
      </c>
      <c r="O217" s="7"/>
      <c r="P217" s="84">
        <f t="shared" ca="1" si="24"/>
        <v>17334</v>
      </c>
      <c r="Q217" s="7">
        <v>0</v>
      </c>
      <c r="R217" s="59"/>
    </row>
    <row r="218" spans="1:18">
      <c r="A218" s="58" t="str">
        <f t="shared" si="25"/>
        <v>华南区广东省龙华所</v>
      </c>
      <c r="B218" s="58" t="str">
        <f t="shared" si="26"/>
        <v>标箱组龙华所</v>
      </c>
      <c r="C218" s="4">
        <v>178</v>
      </c>
      <c r="D218" s="4" t="s">
        <v>9</v>
      </c>
      <c r="E218" s="4" t="str">
        <f t="shared" si="21"/>
        <v>华南区</v>
      </c>
      <c r="F218" s="4" t="s">
        <v>37</v>
      </c>
      <c r="G218" s="4" t="s">
        <v>241</v>
      </c>
      <c r="H218" s="4" t="s">
        <v>245</v>
      </c>
      <c r="I218" s="83">
        <v>1176.1500000000001</v>
      </c>
      <c r="J218" s="76">
        <f t="shared" ca="1" si="23"/>
        <v>9.2502583607423819E-2</v>
      </c>
      <c r="K218" s="4" t="str">
        <f t="shared" si="22"/>
        <v>否</v>
      </c>
      <c r="L218" s="4" t="s">
        <v>12</v>
      </c>
      <c r="M218" s="4"/>
      <c r="N218" s="4" t="s">
        <v>73</v>
      </c>
      <c r="O218" s="7"/>
      <c r="P218" s="84">
        <f t="shared" ca="1" si="24"/>
        <v>77518</v>
      </c>
      <c r="Q218" s="7">
        <v>0</v>
      </c>
      <c r="R218" s="59"/>
    </row>
    <row r="219" spans="1:18">
      <c r="A219" s="58" t="str">
        <f t="shared" si="25"/>
        <v>华南区广西壮族自治区北流所</v>
      </c>
      <c r="B219" s="58" t="str">
        <f t="shared" si="26"/>
        <v>标箱组北流所</v>
      </c>
      <c r="C219" s="4">
        <v>179</v>
      </c>
      <c r="D219" s="4" t="s">
        <v>9</v>
      </c>
      <c r="E219" s="4" t="str">
        <f t="shared" si="21"/>
        <v>华南区</v>
      </c>
      <c r="F219" s="4" t="s">
        <v>39</v>
      </c>
      <c r="G219" s="4" t="s">
        <v>267</v>
      </c>
      <c r="H219" s="4" t="s">
        <v>269</v>
      </c>
      <c r="I219" s="83">
        <v>282.14</v>
      </c>
      <c r="J219" s="76">
        <f t="shared" ca="1" si="23"/>
        <v>5.501402941595121E-2</v>
      </c>
      <c r="K219" s="4" t="str">
        <f t="shared" si="22"/>
        <v>是</v>
      </c>
      <c r="L219" s="4" t="s">
        <v>12</v>
      </c>
      <c r="M219" s="4"/>
      <c r="N219" s="4" t="s">
        <v>73</v>
      </c>
      <c r="O219" s="8"/>
      <c r="P219" s="84">
        <f t="shared" ca="1" si="24"/>
        <v>18595</v>
      </c>
      <c r="Q219" s="7">
        <v>0</v>
      </c>
      <c r="R219" s="59"/>
    </row>
    <row r="220" spans="1:18">
      <c r="A220" s="58" t="str">
        <f t="shared" si="25"/>
        <v>华南区广西壮族自治区北海所</v>
      </c>
      <c r="B220" s="58" t="str">
        <f t="shared" si="26"/>
        <v>标箱组北海所</v>
      </c>
      <c r="C220" s="4">
        <v>180</v>
      </c>
      <c r="D220" s="4" t="s">
        <v>9</v>
      </c>
      <c r="E220" s="4" t="str">
        <f t="shared" si="21"/>
        <v>华南区</v>
      </c>
      <c r="F220" s="4" t="s">
        <v>39</v>
      </c>
      <c r="G220" s="4" t="s">
        <v>267</v>
      </c>
      <c r="H220" s="4" t="s">
        <v>268</v>
      </c>
      <c r="I220" s="83">
        <v>188.11</v>
      </c>
      <c r="J220" s="76">
        <f t="shared" ca="1" si="23"/>
        <v>3.667926941743313E-2</v>
      </c>
      <c r="K220" s="4" t="str">
        <f t="shared" si="22"/>
        <v>是</v>
      </c>
      <c r="L220" s="4" t="s">
        <v>12</v>
      </c>
      <c r="M220" s="4"/>
      <c r="N220" s="4" t="s">
        <v>73</v>
      </c>
      <c r="O220" s="8"/>
      <c r="P220" s="84">
        <f t="shared" ca="1" si="24"/>
        <v>12398</v>
      </c>
      <c r="Q220" s="7">
        <v>0</v>
      </c>
      <c r="R220" s="59"/>
    </row>
    <row r="221" spans="1:18">
      <c r="A221" s="58" t="str">
        <f t="shared" si="25"/>
        <v>华南区广西壮族自治区南宁东所</v>
      </c>
      <c r="B221" s="58" t="str">
        <f t="shared" si="26"/>
        <v>标箱组南宁东所</v>
      </c>
      <c r="C221" s="4">
        <v>181</v>
      </c>
      <c r="D221" s="4" t="s">
        <v>9</v>
      </c>
      <c r="E221" s="4" t="str">
        <f t="shared" si="21"/>
        <v>华南区</v>
      </c>
      <c r="F221" s="4" t="s">
        <v>39</v>
      </c>
      <c r="G221" s="4" t="s">
        <v>267</v>
      </c>
      <c r="H221" s="4" t="s">
        <v>273</v>
      </c>
      <c r="I221" s="83">
        <v>494.7</v>
      </c>
      <c r="J221" s="76">
        <f t="shared" ca="1" si="23"/>
        <v>9.6460765407496499E-2</v>
      </c>
      <c r="K221" s="4" t="str">
        <f t="shared" si="22"/>
        <v>是</v>
      </c>
      <c r="L221" s="4" t="s">
        <v>12</v>
      </c>
      <c r="M221" s="4"/>
      <c r="N221" s="4" t="s">
        <v>73</v>
      </c>
      <c r="O221" s="8"/>
      <c r="P221" s="84">
        <f t="shared" ca="1" si="24"/>
        <v>32605</v>
      </c>
      <c r="Q221" s="7">
        <v>0</v>
      </c>
      <c r="R221" s="59"/>
    </row>
    <row r="222" spans="1:18">
      <c r="A222" s="58" t="str">
        <f t="shared" si="25"/>
        <v>华南区广西壮族自治区南宁西所</v>
      </c>
      <c r="B222" s="58" t="str">
        <f t="shared" si="26"/>
        <v>标箱组南宁西所</v>
      </c>
      <c r="C222" s="4">
        <v>182</v>
      </c>
      <c r="D222" s="4" t="s">
        <v>9</v>
      </c>
      <c r="E222" s="4" t="str">
        <f t="shared" si="21"/>
        <v>华南区</v>
      </c>
      <c r="F222" s="4" t="s">
        <v>39</v>
      </c>
      <c r="G222" s="4" t="s">
        <v>267</v>
      </c>
      <c r="H222" s="4" t="s">
        <v>274</v>
      </c>
      <c r="I222" s="83">
        <v>394.46</v>
      </c>
      <c r="J222" s="76">
        <f t="shared" ca="1" si="23"/>
        <v>7.6915127395676311E-2</v>
      </c>
      <c r="K222" s="4" t="str">
        <f t="shared" si="22"/>
        <v>是</v>
      </c>
      <c r="L222" s="4" t="s">
        <v>12</v>
      </c>
      <c r="M222" s="4"/>
      <c r="N222" s="4" t="s">
        <v>73</v>
      </c>
      <c r="O222" s="8"/>
      <c r="P222" s="84">
        <f t="shared" ca="1" si="24"/>
        <v>25998</v>
      </c>
      <c r="Q222" s="7">
        <v>0</v>
      </c>
      <c r="R222" s="59"/>
    </row>
    <row r="223" spans="1:18">
      <c r="A223" s="58" t="str">
        <f t="shared" si="25"/>
        <v>华南区广西壮族自治区崇左所</v>
      </c>
      <c r="B223" s="58" t="str">
        <f t="shared" si="26"/>
        <v>标箱组崇左所</v>
      </c>
      <c r="C223" s="4">
        <v>183</v>
      </c>
      <c r="D223" s="4" t="s">
        <v>9</v>
      </c>
      <c r="E223" s="4" t="str">
        <f t="shared" si="21"/>
        <v>华南区</v>
      </c>
      <c r="F223" s="4" t="s">
        <v>39</v>
      </c>
      <c r="G223" s="4" t="s">
        <v>267</v>
      </c>
      <c r="H223" s="4" t="s">
        <v>270</v>
      </c>
      <c r="I223" s="83">
        <v>208.26</v>
      </c>
      <c r="J223" s="76">
        <f t="shared" ca="1" si="23"/>
        <v>4.0608285837406957E-2</v>
      </c>
      <c r="K223" s="4" t="str">
        <f t="shared" si="22"/>
        <v>是</v>
      </c>
      <c r="L223" s="4" t="s">
        <v>12</v>
      </c>
      <c r="M223" s="4"/>
      <c r="N223" s="4" t="s">
        <v>73</v>
      </c>
      <c r="O223" s="8"/>
      <c r="P223" s="84">
        <f t="shared" ca="1" si="24"/>
        <v>13726</v>
      </c>
      <c r="Q223" s="7">
        <v>0</v>
      </c>
      <c r="R223" s="59"/>
    </row>
    <row r="224" spans="1:18">
      <c r="A224" s="58" t="str">
        <f t="shared" si="25"/>
        <v>华南区广西壮族自治区梧州所</v>
      </c>
      <c r="B224" s="58" t="str">
        <f t="shared" si="26"/>
        <v>标箱组梧州所</v>
      </c>
      <c r="C224" s="4">
        <v>184</v>
      </c>
      <c r="D224" s="4" t="s">
        <v>9</v>
      </c>
      <c r="E224" s="4" t="str">
        <f t="shared" si="21"/>
        <v>华南区</v>
      </c>
      <c r="F224" s="4" t="s">
        <v>39</v>
      </c>
      <c r="G224" s="4" t="s">
        <v>267</v>
      </c>
      <c r="H224" s="4" t="s">
        <v>276</v>
      </c>
      <c r="I224" s="83">
        <v>282.08</v>
      </c>
      <c r="J224" s="76">
        <f t="shared" ca="1" si="23"/>
        <v>5.5002330111474859E-2</v>
      </c>
      <c r="K224" s="4" t="str">
        <f t="shared" si="22"/>
        <v>是</v>
      </c>
      <c r="L224" s="4" t="s">
        <v>12</v>
      </c>
      <c r="M224" s="4"/>
      <c r="N224" s="4" t="s">
        <v>73</v>
      </c>
      <c r="O224" s="8"/>
      <c r="P224" s="84">
        <f t="shared" ca="1" si="24"/>
        <v>18591</v>
      </c>
      <c r="Q224" s="7">
        <v>0</v>
      </c>
      <c r="R224" s="59"/>
    </row>
    <row r="225" spans="1:18">
      <c r="A225" s="58" t="str">
        <f t="shared" si="25"/>
        <v>华南区广西壮族自治区玉林所</v>
      </c>
      <c r="B225" s="58" t="str">
        <f t="shared" si="26"/>
        <v>标箱组玉林所</v>
      </c>
      <c r="C225" s="4">
        <v>185</v>
      </c>
      <c r="D225" s="4" t="s">
        <v>9</v>
      </c>
      <c r="E225" s="4" t="str">
        <f t="shared" si="21"/>
        <v>华南区</v>
      </c>
      <c r="F225" s="4" t="s">
        <v>39</v>
      </c>
      <c r="G225" s="4" t="s">
        <v>267</v>
      </c>
      <c r="H225" s="4" t="s">
        <v>277</v>
      </c>
      <c r="I225" s="83">
        <v>300.16000000000003</v>
      </c>
      <c r="J225" s="76">
        <f t="shared" ca="1" si="23"/>
        <v>5.8527720527014659E-2</v>
      </c>
      <c r="K225" s="4" t="str">
        <f t="shared" si="22"/>
        <v>是</v>
      </c>
      <c r="L225" s="4" t="s">
        <v>12</v>
      </c>
      <c r="M225" s="4"/>
      <c r="N225" s="4" t="s">
        <v>73</v>
      </c>
      <c r="O225" s="8"/>
      <c r="P225" s="84">
        <f t="shared" ca="1" si="24"/>
        <v>19783</v>
      </c>
      <c r="Q225" s="7">
        <v>0</v>
      </c>
      <c r="R225" s="59"/>
    </row>
    <row r="226" spans="1:18">
      <c r="A226" s="58" t="str">
        <f t="shared" si="25"/>
        <v>华南区广西壮族自治区贵港所</v>
      </c>
      <c r="B226" s="58" t="str">
        <f t="shared" si="26"/>
        <v>标箱组贵港所</v>
      </c>
      <c r="C226" s="4">
        <v>186</v>
      </c>
      <c r="D226" s="4" t="s">
        <v>9</v>
      </c>
      <c r="E226" s="4" t="str">
        <f t="shared" si="21"/>
        <v>华南区</v>
      </c>
      <c r="F226" s="4" t="s">
        <v>39</v>
      </c>
      <c r="G226" s="4" t="s">
        <v>267</v>
      </c>
      <c r="H226" s="4" t="s">
        <v>272</v>
      </c>
      <c r="I226" s="83">
        <v>435.55</v>
      </c>
      <c r="J226" s="76">
        <f t="shared" ca="1" si="23"/>
        <v>8.4927201077895906E-2</v>
      </c>
      <c r="K226" s="4" t="str">
        <f t="shared" si="22"/>
        <v>是</v>
      </c>
      <c r="L226" s="4" t="s">
        <v>12</v>
      </c>
      <c r="M226" s="4"/>
      <c r="N226" s="4" t="s">
        <v>73</v>
      </c>
      <c r="O226" s="8"/>
      <c r="P226" s="84">
        <f t="shared" ca="1" si="24"/>
        <v>28706</v>
      </c>
      <c r="Q226" s="7">
        <v>0</v>
      </c>
      <c r="R226" s="59"/>
    </row>
    <row r="227" spans="1:18">
      <c r="A227" s="58" t="str">
        <f t="shared" si="25"/>
        <v>华南区广西壮族自治区钦州所</v>
      </c>
      <c r="B227" s="58" t="str">
        <f t="shared" si="26"/>
        <v>标箱组钦州所</v>
      </c>
      <c r="C227" s="4">
        <v>187</v>
      </c>
      <c r="D227" s="4" t="s">
        <v>9</v>
      </c>
      <c r="E227" s="4" t="str">
        <f t="shared" si="21"/>
        <v>华南区</v>
      </c>
      <c r="F227" s="4" t="s">
        <v>39</v>
      </c>
      <c r="G227" s="4" t="s">
        <v>267</v>
      </c>
      <c r="H227" s="4" t="s">
        <v>275</v>
      </c>
      <c r="I227" s="83">
        <v>420.59</v>
      </c>
      <c r="J227" s="76">
        <f t="shared" ca="1" si="23"/>
        <v>8.2010174495126237E-2</v>
      </c>
      <c r="K227" s="4" t="str">
        <f t="shared" si="22"/>
        <v>是</v>
      </c>
      <c r="L227" s="4" t="s">
        <v>12</v>
      </c>
      <c r="M227" s="4"/>
      <c r="N227" s="4" t="s">
        <v>73</v>
      </c>
      <c r="O227" s="8"/>
      <c r="P227" s="84">
        <f t="shared" ca="1" si="24"/>
        <v>27720</v>
      </c>
      <c r="Q227" s="7">
        <v>0</v>
      </c>
      <c r="R227" s="59"/>
    </row>
    <row r="228" spans="1:18">
      <c r="A228" s="58" t="str">
        <f t="shared" si="25"/>
        <v>华南区广西壮族自治区防城港所</v>
      </c>
      <c r="B228" s="58" t="str">
        <f t="shared" si="26"/>
        <v>标箱组防城港所</v>
      </c>
      <c r="C228" s="4">
        <v>188</v>
      </c>
      <c r="D228" s="4" t="s">
        <v>9</v>
      </c>
      <c r="E228" s="4" t="str">
        <f t="shared" si="21"/>
        <v>华南区</v>
      </c>
      <c r="F228" s="4" t="s">
        <v>39</v>
      </c>
      <c r="G228" s="4" t="s">
        <v>267</v>
      </c>
      <c r="H228" s="4" t="s">
        <v>271</v>
      </c>
      <c r="I228" s="83">
        <v>102.32</v>
      </c>
      <c r="J228" s="76">
        <f t="shared" ca="1" si="23"/>
        <v>1.9951213900333619E-2</v>
      </c>
      <c r="K228" s="4" t="str">
        <f t="shared" si="22"/>
        <v>是</v>
      </c>
      <c r="L228" s="4" t="s">
        <v>12</v>
      </c>
      <c r="M228" s="4"/>
      <c r="N228" s="4" t="s">
        <v>73</v>
      </c>
      <c r="O228" s="8"/>
      <c r="P228" s="84">
        <f t="shared" ca="1" si="24"/>
        <v>6744</v>
      </c>
      <c r="Q228" s="7">
        <v>0</v>
      </c>
      <c r="R228" s="59"/>
    </row>
    <row r="229" spans="1:18">
      <c r="A229" s="58" t="str">
        <f t="shared" si="25"/>
        <v>华南区广西壮族自治区临桂所</v>
      </c>
      <c r="B229" s="58" t="str">
        <f t="shared" si="26"/>
        <v>标箱组临桂所</v>
      </c>
      <c r="C229" s="4">
        <v>189</v>
      </c>
      <c r="D229" s="4" t="s">
        <v>9</v>
      </c>
      <c r="E229" s="4" t="str">
        <f t="shared" si="21"/>
        <v>华南区</v>
      </c>
      <c r="F229" s="4" t="s">
        <v>39</v>
      </c>
      <c r="G229" s="4" t="s">
        <v>258</v>
      </c>
      <c r="H229" s="4" t="s">
        <v>265</v>
      </c>
      <c r="I229" s="83">
        <v>255.56</v>
      </c>
      <c r="J229" s="76">
        <f t="shared" ca="1" si="23"/>
        <v>4.983123753292866E-2</v>
      </c>
      <c r="K229" s="4" t="str">
        <f t="shared" si="22"/>
        <v>是</v>
      </c>
      <c r="L229" s="4" t="s">
        <v>12</v>
      </c>
      <c r="M229" s="4"/>
      <c r="N229" s="4" t="s">
        <v>73</v>
      </c>
      <c r="O229" s="8"/>
      <c r="P229" s="84">
        <f t="shared" ca="1" si="24"/>
        <v>16843</v>
      </c>
      <c r="Q229" s="7">
        <v>0</v>
      </c>
      <c r="R229" s="59"/>
    </row>
    <row r="230" spans="1:18">
      <c r="A230" s="58" t="str">
        <f t="shared" si="25"/>
        <v>华南区广西壮族自治区来宾所</v>
      </c>
      <c r="B230" s="58" t="str">
        <f t="shared" si="26"/>
        <v>标箱组来宾所</v>
      </c>
      <c r="C230" s="4">
        <v>190</v>
      </c>
      <c r="D230" s="4" t="s">
        <v>9</v>
      </c>
      <c r="E230" s="4" t="str">
        <f t="shared" si="21"/>
        <v>华南区</v>
      </c>
      <c r="F230" s="4" t="s">
        <v>39</v>
      </c>
      <c r="G230" s="4" t="s">
        <v>258</v>
      </c>
      <c r="H230" s="4" t="s">
        <v>264</v>
      </c>
      <c r="I230" s="83">
        <v>205.11</v>
      </c>
      <c r="J230" s="76">
        <f t="shared" ca="1" si="23"/>
        <v>3.9994072352398644E-2</v>
      </c>
      <c r="K230" s="4" t="str">
        <f t="shared" si="22"/>
        <v>是</v>
      </c>
      <c r="L230" s="4" t="s">
        <v>12</v>
      </c>
      <c r="M230" s="4"/>
      <c r="N230" s="4" t="s">
        <v>73</v>
      </c>
      <c r="O230" s="8"/>
      <c r="P230" s="84">
        <f t="shared" ca="1" si="24"/>
        <v>13518</v>
      </c>
      <c r="Q230" s="7">
        <v>0</v>
      </c>
      <c r="R230" s="59"/>
    </row>
    <row r="231" spans="1:18">
      <c r="A231" s="58" t="str">
        <f t="shared" si="25"/>
        <v>华南区广西壮族自治区柳州所</v>
      </c>
      <c r="B231" s="58" t="str">
        <f t="shared" si="26"/>
        <v>标箱组柳州所</v>
      </c>
      <c r="C231" s="4">
        <v>191</v>
      </c>
      <c r="D231" s="4" t="s">
        <v>9</v>
      </c>
      <c r="E231" s="4" t="str">
        <f t="shared" si="21"/>
        <v>华南区</v>
      </c>
      <c r="F231" s="4" t="s">
        <v>39</v>
      </c>
      <c r="G231" s="4" t="s">
        <v>258</v>
      </c>
      <c r="H231" s="4" t="s">
        <v>266</v>
      </c>
      <c r="I231" s="83">
        <v>419.11</v>
      </c>
      <c r="J231" s="76">
        <f t="shared" ca="1" si="23"/>
        <v>8.172159165137631E-2</v>
      </c>
      <c r="K231" s="4" t="str">
        <f t="shared" si="22"/>
        <v>是</v>
      </c>
      <c r="L231" s="4" t="s">
        <v>12</v>
      </c>
      <c r="M231" s="4"/>
      <c r="N231" s="4" t="s">
        <v>73</v>
      </c>
      <c r="O231" s="8"/>
      <c r="P231" s="84">
        <f t="shared" ca="1" si="24"/>
        <v>27623</v>
      </c>
      <c r="Q231" s="7">
        <v>0</v>
      </c>
      <c r="R231" s="59"/>
    </row>
    <row r="232" spans="1:18">
      <c r="A232" s="58" t="str">
        <f t="shared" si="25"/>
        <v>华南区广西壮族自治区桂林所</v>
      </c>
      <c r="B232" s="58" t="str">
        <f t="shared" si="26"/>
        <v>标箱组桂林所</v>
      </c>
      <c r="C232" s="4">
        <v>192</v>
      </c>
      <c r="D232" s="4" t="s">
        <v>9</v>
      </c>
      <c r="E232" s="4" t="str">
        <f t="shared" si="21"/>
        <v>华南区</v>
      </c>
      <c r="F232" s="4" t="s">
        <v>39</v>
      </c>
      <c r="G232" s="4" t="s">
        <v>258</v>
      </c>
      <c r="H232" s="4" t="s">
        <v>260</v>
      </c>
      <c r="I232" s="83">
        <v>240.08</v>
      </c>
      <c r="J232" s="76">
        <f t="shared" ca="1" si="23"/>
        <v>4.681281697803065E-2</v>
      </c>
      <c r="K232" s="4" t="str">
        <f t="shared" si="22"/>
        <v>是</v>
      </c>
      <c r="L232" s="4" t="s">
        <v>12</v>
      </c>
      <c r="M232" s="4"/>
      <c r="N232" s="4" t="s">
        <v>73</v>
      </c>
      <c r="O232" s="8"/>
      <c r="P232" s="84">
        <f t="shared" ca="1" si="24"/>
        <v>15823</v>
      </c>
      <c r="Q232" s="7">
        <v>0</v>
      </c>
      <c r="R232" s="59"/>
    </row>
    <row r="233" spans="1:18">
      <c r="A233" s="58" t="str">
        <f t="shared" si="25"/>
        <v>华南区广西壮族自治区河池所</v>
      </c>
      <c r="B233" s="58" t="str">
        <f t="shared" si="26"/>
        <v>标箱组河池所</v>
      </c>
      <c r="C233" s="4">
        <v>193</v>
      </c>
      <c r="D233" s="4" t="s">
        <v>9</v>
      </c>
      <c r="E233" s="4" t="str">
        <f t="shared" ref="E233:E296" si="27">_xlfn.XLOOKUP($F233,F:F,E:E)</f>
        <v>华南区</v>
      </c>
      <c r="F233" s="4" t="s">
        <v>39</v>
      </c>
      <c r="G233" s="4" t="s">
        <v>258</v>
      </c>
      <c r="H233" s="4" t="s">
        <v>261</v>
      </c>
      <c r="I233" s="83">
        <v>340.96</v>
      </c>
      <c r="J233" s="76">
        <f t="shared" ca="1" si="23"/>
        <v>6.6483247570931894E-2</v>
      </c>
      <c r="K233" s="4" t="str">
        <f t="shared" ref="K233:K296" si="28">_xlfn.XLOOKUP(F233,F:F,K:K,0)</f>
        <v>是</v>
      </c>
      <c r="L233" s="4" t="s">
        <v>12</v>
      </c>
      <c r="M233" s="4"/>
      <c r="N233" s="4" t="s">
        <v>73</v>
      </c>
      <c r="O233" s="8"/>
      <c r="P233" s="84">
        <f t="shared" ca="1" si="24"/>
        <v>22472</v>
      </c>
      <c r="Q233" s="7">
        <v>0</v>
      </c>
      <c r="R233" s="59"/>
    </row>
    <row r="234" spans="1:18">
      <c r="A234" s="58" t="str">
        <f t="shared" si="25"/>
        <v>华南区广西壮族自治区百色所</v>
      </c>
      <c r="B234" s="58" t="str">
        <f t="shared" si="26"/>
        <v>标箱组百色所</v>
      </c>
      <c r="C234" s="4">
        <v>194</v>
      </c>
      <c r="D234" s="4" t="s">
        <v>9</v>
      </c>
      <c r="E234" s="4" t="str">
        <f t="shared" si="27"/>
        <v>华南区</v>
      </c>
      <c r="F234" s="4" t="s">
        <v>39</v>
      </c>
      <c r="G234" s="4" t="s">
        <v>258</v>
      </c>
      <c r="H234" s="4" t="s">
        <v>259</v>
      </c>
      <c r="I234" s="83">
        <v>210.25</v>
      </c>
      <c r="J234" s="76">
        <f t="shared" ref="J234:J297" ca="1" si="29">I234/SUMIF($F$41:$G$456,$F234,$I$41:$I$456)</f>
        <v>4.0996312769205859E-2</v>
      </c>
      <c r="K234" s="4" t="str">
        <f t="shared" si="28"/>
        <v>是</v>
      </c>
      <c r="L234" s="4" t="s">
        <v>12</v>
      </c>
      <c r="M234" s="4"/>
      <c r="N234" s="4" t="s">
        <v>73</v>
      </c>
      <c r="O234" s="8"/>
      <c r="P234" s="84">
        <f t="shared" ref="P234:P297" ca="1" si="30">ROUND(J234*VLOOKUP(F234,F:P,11,0),0)</f>
        <v>13857</v>
      </c>
      <c r="Q234" s="7">
        <v>0</v>
      </c>
      <c r="R234" s="59"/>
    </row>
    <row r="235" spans="1:18">
      <c r="A235" s="58" t="str">
        <f t="shared" si="25"/>
        <v>华南区广西壮族自治区贺州所</v>
      </c>
      <c r="B235" s="58" t="str">
        <f t="shared" si="26"/>
        <v>标箱组贺州所</v>
      </c>
      <c r="C235" s="4">
        <v>195</v>
      </c>
      <c r="D235" s="4" t="s">
        <v>9</v>
      </c>
      <c r="E235" s="4" t="str">
        <f t="shared" si="27"/>
        <v>华南区</v>
      </c>
      <c r="F235" s="4" t="s">
        <v>39</v>
      </c>
      <c r="G235" s="4" t="s">
        <v>258</v>
      </c>
      <c r="H235" s="4" t="s">
        <v>262</v>
      </c>
      <c r="I235" s="83">
        <v>203.1</v>
      </c>
      <c r="J235" s="76">
        <f t="shared" ca="1" si="29"/>
        <v>3.9602145652440954E-2</v>
      </c>
      <c r="K235" s="4" t="str">
        <f t="shared" si="28"/>
        <v>是</v>
      </c>
      <c r="L235" s="4" t="s">
        <v>12</v>
      </c>
      <c r="M235" s="4"/>
      <c r="N235" s="4" t="s">
        <v>73</v>
      </c>
      <c r="O235" s="8"/>
      <c r="P235" s="84">
        <f t="shared" ca="1" si="30"/>
        <v>13386</v>
      </c>
      <c r="Q235" s="7">
        <v>0</v>
      </c>
      <c r="R235" s="59"/>
    </row>
    <row r="236" spans="1:18">
      <c r="A236" s="58" t="str">
        <f t="shared" si="25"/>
        <v>华南区广西壮族自治区靖西所</v>
      </c>
      <c r="B236" s="58" t="str">
        <f t="shared" si="26"/>
        <v>标箱组靖西所</v>
      </c>
      <c r="C236" s="4">
        <v>196</v>
      </c>
      <c r="D236" s="4" t="s">
        <v>9</v>
      </c>
      <c r="E236" s="4" t="str">
        <f t="shared" si="27"/>
        <v>华南区</v>
      </c>
      <c r="F236" s="4" t="s">
        <v>39</v>
      </c>
      <c r="G236" s="4" t="s">
        <v>258</v>
      </c>
      <c r="H236" s="4" t="s">
        <v>263</v>
      </c>
      <c r="I236" s="83">
        <v>145.97</v>
      </c>
      <c r="J236" s="76">
        <f t="shared" ca="1" si="29"/>
        <v>2.8462457906877431E-2</v>
      </c>
      <c r="K236" s="4" t="str">
        <f t="shared" si="28"/>
        <v>是</v>
      </c>
      <c r="L236" s="4" t="s">
        <v>12</v>
      </c>
      <c r="M236" s="4"/>
      <c r="N236" s="4" t="s">
        <v>73</v>
      </c>
      <c r="O236" s="8"/>
      <c r="P236" s="84">
        <f t="shared" ca="1" si="30"/>
        <v>9621</v>
      </c>
      <c r="Q236" s="7">
        <v>0</v>
      </c>
      <c r="R236" s="59"/>
    </row>
    <row r="237" spans="1:18">
      <c r="A237" s="58" t="str">
        <f t="shared" si="25"/>
        <v>华南区海南省三亚所</v>
      </c>
      <c r="B237" s="58" t="str">
        <f t="shared" si="26"/>
        <v>标箱组三亚所</v>
      </c>
      <c r="C237" s="4">
        <v>197</v>
      </c>
      <c r="D237" s="4" t="s">
        <v>9</v>
      </c>
      <c r="E237" s="4" t="str">
        <f t="shared" si="27"/>
        <v>华南区</v>
      </c>
      <c r="F237" s="4" t="s">
        <v>38</v>
      </c>
      <c r="G237" s="4" t="s">
        <v>278</v>
      </c>
      <c r="H237" s="4" t="s">
        <v>282</v>
      </c>
      <c r="I237" s="83">
        <v>219.34</v>
      </c>
      <c r="J237" s="76">
        <f t="shared" ca="1" si="29"/>
        <v>0.21126340020997275</v>
      </c>
      <c r="K237" s="4" t="str">
        <f t="shared" si="28"/>
        <v>否</v>
      </c>
      <c r="L237" s="4" t="s">
        <v>12</v>
      </c>
      <c r="M237" s="4"/>
      <c r="N237" s="4" t="s">
        <v>73</v>
      </c>
      <c r="O237" s="7"/>
      <c r="P237" s="84">
        <f t="shared" ca="1" si="30"/>
        <v>14456</v>
      </c>
      <c r="Q237" s="7">
        <v>0</v>
      </c>
      <c r="R237" s="59"/>
    </row>
    <row r="238" spans="1:18">
      <c r="A238" s="58" t="str">
        <f t="shared" si="25"/>
        <v>华南区海南省儋州所</v>
      </c>
      <c r="B238" s="58" t="str">
        <f t="shared" si="26"/>
        <v>标箱组儋州所</v>
      </c>
      <c r="C238" s="4">
        <v>198</v>
      </c>
      <c r="D238" s="4" t="s">
        <v>9</v>
      </c>
      <c r="E238" s="4" t="str">
        <f t="shared" si="27"/>
        <v>华南区</v>
      </c>
      <c r="F238" s="4" t="s">
        <v>38</v>
      </c>
      <c r="G238" s="4" t="s">
        <v>278</v>
      </c>
      <c r="H238" s="4" t="s">
        <v>279</v>
      </c>
      <c r="I238" s="83">
        <v>280.52</v>
      </c>
      <c r="J238" s="76">
        <f t="shared" ca="1" si="29"/>
        <v>0.27019061286998064</v>
      </c>
      <c r="K238" s="4" t="str">
        <f t="shared" si="28"/>
        <v>否</v>
      </c>
      <c r="L238" s="4" t="s">
        <v>12</v>
      </c>
      <c r="M238" s="4"/>
      <c r="N238" s="4" t="s">
        <v>73</v>
      </c>
      <c r="O238" s="7"/>
      <c r="P238" s="84">
        <f t="shared" ca="1" si="30"/>
        <v>18489</v>
      </c>
      <c r="Q238" s="7">
        <v>0</v>
      </c>
      <c r="R238" s="59"/>
    </row>
    <row r="239" spans="1:18">
      <c r="A239" s="58" t="str">
        <f t="shared" si="25"/>
        <v>华南区海南省海口所</v>
      </c>
      <c r="B239" s="58" t="str">
        <f t="shared" si="26"/>
        <v>标箱组海口所</v>
      </c>
      <c r="C239" s="4">
        <v>199</v>
      </c>
      <c r="D239" s="4" t="s">
        <v>9</v>
      </c>
      <c r="E239" s="4" t="str">
        <f t="shared" si="27"/>
        <v>华南区</v>
      </c>
      <c r="F239" s="4" t="s">
        <v>38</v>
      </c>
      <c r="G239" s="4" t="s">
        <v>278</v>
      </c>
      <c r="H239" s="4" t="s">
        <v>280</v>
      </c>
      <c r="I239" s="83">
        <v>300.16000000000003</v>
      </c>
      <c r="J239" s="76">
        <f t="shared" ca="1" si="29"/>
        <v>0.28910742321065663</v>
      </c>
      <c r="K239" s="4" t="str">
        <f t="shared" si="28"/>
        <v>否</v>
      </c>
      <c r="L239" s="4" t="s">
        <v>12</v>
      </c>
      <c r="M239" s="4"/>
      <c r="N239" s="4" t="s">
        <v>73</v>
      </c>
      <c r="O239" s="7"/>
      <c r="P239" s="84">
        <f t="shared" ca="1" si="30"/>
        <v>19783</v>
      </c>
      <c r="Q239" s="7">
        <v>0</v>
      </c>
      <c r="R239" s="59"/>
    </row>
    <row r="240" spans="1:18">
      <c r="A240" s="58" t="str">
        <f t="shared" si="25"/>
        <v>华南区海南省琼海所</v>
      </c>
      <c r="B240" s="58" t="str">
        <f t="shared" si="26"/>
        <v>标箱组琼海所</v>
      </c>
      <c r="C240" s="4">
        <v>200</v>
      </c>
      <c r="D240" s="4" t="s">
        <v>9</v>
      </c>
      <c r="E240" s="4" t="str">
        <f t="shared" si="27"/>
        <v>华南区</v>
      </c>
      <c r="F240" s="4" t="s">
        <v>38</v>
      </c>
      <c r="G240" s="4" t="s">
        <v>278</v>
      </c>
      <c r="H240" s="4" t="s">
        <v>281</v>
      </c>
      <c r="I240" s="83">
        <v>238.21</v>
      </c>
      <c r="J240" s="76">
        <f t="shared" ca="1" si="29"/>
        <v>0.22943856370939003</v>
      </c>
      <c r="K240" s="4" t="str">
        <f t="shared" si="28"/>
        <v>否</v>
      </c>
      <c r="L240" s="4" t="s">
        <v>12</v>
      </c>
      <c r="M240" s="4"/>
      <c r="N240" s="4" t="s">
        <v>73</v>
      </c>
      <c r="O240" s="7"/>
      <c r="P240" s="84">
        <f t="shared" ca="1" si="30"/>
        <v>15700</v>
      </c>
      <c r="Q240" s="7">
        <v>0</v>
      </c>
      <c r="R240" s="59"/>
    </row>
    <row r="241" spans="1:18">
      <c r="A241" s="58" t="str">
        <f t="shared" si="25"/>
        <v>华东区安徽省亳州所</v>
      </c>
      <c r="B241" s="58" t="str">
        <f t="shared" si="26"/>
        <v>标箱组亳州所</v>
      </c>
      <c r="C241" s="4">
        <v>201</v>
      </c>
      <c r="D241" s="4" t="s">
        <v>9</v>
      </c>
      <c r="E241" s="4" t="str">
        <f t="shared" si="27"/>
        <v>华东区</v>
      </c>
      <c r="F241" s="4" t="s">
        <v>30</v>
      </c>
      <c r="G241" s="4" t="s">
        <v>349</v>
      </c>
      <c r="H241" s="4" t="s">
        <v>351</v>
      </c>
      <c r="I241" s="83">
        <v>496.01</v>
      </c>
      <c r="J241" s="76">
        <f t="shared" ca="1" si="29"/>
        <v>8.0697433027361723E-2</v>
      </c>
      <c r="K241" s="4" t="str">
        <f t="shared" si="28"/>
        <v>是</v>
      </c>
      <c r="L241" s="4"/>
      <c r="M241" s="4"/>
      <c r="N241" s="4" t="s">
        <v>73</v>
      </c>
      <c r="O241" s="8">
        <v>110000</v>
      </c>
      <c r="P241" s="84">
        <f t="shared" ca="1" si="30"/>
        <v>63379</v>
      </c>
      <c r="Q241" s="7">
        <v>0</v>
      </c>
      <c r="R241" s="59"/>
    </row>
    <row r="242" spans="1:18">
      <c r="A242" s="58" t="str">
        <f t="shared" si="25"/>
        <v>华东区安徽省六安所</v>
      </c>
      <c r="B242" s="58" t="str">
        <f t="shared" si="26"/>
        <v>标箱组六安所</v>
      </c>
      <c r="C242" s="4">
        <v>202</v>
      </c>
      <c r="D242" s="4" t="s">
        <v>9</v>
      </c>
      <c r="E242" s="4" t="str">
        <f t="shared" si="27"/>
        <v>华东区</v>
      </c>
      <c r="F242" s="4" t="s">
        <v>30</v>
      </c>
      <c r="G242" s="4" t="s">
        <v>349</v>
      </c>
      <c r="H242" s="4" t="s">
        <v>356</v>
      </c>
      <c r="I242" s="83">
        <v>437.9</v>
      </c>
      <c r="J242" s="76">
        <f t="shared" ca="1" si="29"/>
        <v>7.1243333647873427E-2</v>
      </c>
      <c r="K242" s="4" t="str">
        <f t="shared" si="28"/>
        <v>是</v>
      </c>
      <c r="L242" s="4" t="s">
        <v>72</v>
      </c>
      <c r="M242" s="4" t="s">
        <v>11</v>
      </c>
      <c r="N242" s="4" t="s">
        <v>73</v>
      </c>
      <c r="O242" s="8">
        <v>45000</v>
      </c>
      <c r="P242" s="84">
        <f t="shared" ca="1" si="30"/>
        <v>55954</v>
      </c>
      <c r="Q242" s="7">
        <v>0</v>
      </c>
      <c r="R242" s="59"/>
    </row>
    <row r="243" spans="1:18">
      <c r="A243" s="58" t="str">
        <f t="shared" si="25"/>
        <v>华东区安徽省合肥所</v>
      </c>
      <c r="B243" s="58" t="str">
        <f t="shared" si="26"/>
        <v>标箱组合肥所</v>
      </c>
      <c r="C243" s="4">
        <v>203</v>
      </c>
      <c r="D243" s="4" t="s">
        <v>9</v>
      </c>
      <c r="E243" s="4" t="str">
        <f t="shared" si="27"/>
        <v>华东区</v>
      </c>
      <c r="F243" s="4" t="s">
        <v>30</v>
      </c>
      <c r="G243" s="4" t="s">
        <v>349</v>
      </c>
      <c r="H243" s="4" t="s">
        <v>71</v>
      </c>
      <c r="I243" s="83">
        <v>693.93</v>
      </c>
      <c r="J243" s="76">
        <f t="shared" ca="1" si="29"/>
        <v>0.11289766275010003</v>
      </c>
      <c r="K243" s="4" t="str">
        <f t="shared" si="28"/>
        <v>是</v>
      </c>
      <c r="L243" s="4" t="s">
        <v>72</v>
      </c>
      <c r="M243" s="4" t="s">
        <v>28</v>
      </c>
      <c r="N243" s="4" t="s">
        <v>73</v>
      </c>
      <c r="O243" s="8">
        <v>45000</v>
      </c>
      <c r="P243" s="84">
        <f t="shared" ca="1" si="30"/>
        <v>88669</v>
      </c>
      <c r="Q243" s="7">
        <v>2310000</v>
      </c>
      <c r="R243" s="59"/>
    </row>
    <row r="244" spans="1:18">
      <c r="A244" s="58" t="str">
        <f t="shared" si="25"/>
        <v>华东区安徽省太和所</v>
      </c>
      <c r="B244" s="58" t="str">
        <f t="shared" si="26"/>
        <v>标箱组太和所</v>
      </c>
      <c r="C244" s="4">
        <v>204</v>
      </c>
      <c r="D244" s="4" t="s">
        <v>9</v>
      </c>
      <c r="E244" s="4" t="str">
        <f t="shared" si="27"/>
        <v>华东区</v>
      </c>
      <c r="F244" s="4" t="s">
        <v>30</v>
      </c>
      <c r="G244" s="4" t="s">
        <v>349</v>
      </c>
      <c r="H244" s="4" t="s">
        <v>357</v>
      </c>
      <c r="I244" s="83">
        <v>355.33</v>
      </c>
      <c r="J244" s="76">
        <f t="shared" ca="1" si="29"/>
        <v>5.7809759637129171E-2</v>
      </c>
      <c r="K244" s="4" t="str">
        <f t="shared" si="28"/>
        <v>是</v>
      </c>
      <c r="L244" s="4"/>
      <c r="M244" s="4"/>
      <c r="N244" s="4" t="s">
        <v>73</v>
      </c>
      <c r="O244" s="8">
        <v>80000</v>
      </c>
      <c r="P244" s="84">
        <f t="shared" ca="1" si="30"/>
        <v>45403</v>
      </c>
      <c r="Q244" s="7">
        <v>0</v>
      </c>
      <c r="R244" s="59"/>
    </row>
    <row r="245" spans="1:18">
      <c r="A245" s="58" t="str">
        <f t="shared" si="25"/>
        <v>华东区安徽省宿州所</v>
      </c>
      <c r="B245" s="58" t="str">
        <f t="shared" si="26"/>
        <v>标箱组宿州所</v>
      </c>
      <c r="C245" s="4">
        <v>205</v>
      </c>
      <c r="D245" s="4" t="s">
        <v>9</v>
      </c>
      <c r="E245" s="4" t="str">
        <f t="shared" si="27"/>
        <v>华东区</v>
      </c>
      <c r="F245" s="4" t="s">
        <v>30</v>
      </c>
      <c r="G245" s="4" t="s">
        <v>349</v>
      </c>
      <c r="H245" s="4" t="s">
        <v>358</v>
      </c>
      <c r="I245" s="83">
        <v>529.99</v>
      </c>
      <c r="J245" s="76">
        <f t="shared" ca="1" si="29"/>
        <v>8.6225746517552951E-2</v>
      </c>
      <c r="K245" s="4" t="str">
        <f t="shared" si="28"/>
        <v>是</v>
      </c>
      <c r="L245" s="4"/>
      <c r="M245" s="4"/>
      <c r="N245" s="4" t="s">
        <v>73</v>
      </c>
      <c r="O245" s="8">
        <v>110000</v>
      </c>
      <c r="P245" s="84">
        <f t="shared" ca="1" si="30"/>
        <v>67721</v>
      </c>
      <c r="Q245" s="7">
        <v>0</v>
      </c>
      <c r="R245" s="59"/>
    </row>
    <row r="246" spans="1:18">
      <c r="A246" s="58" t="str">
        <f t="shared" si="25"/>
        <v>华东区安徽省巢湖所</v>
      </c>
      <c r="B246" s="58" t="str">
        <f t="shared" si="26"/>
        <v>标箱组巢湖所</v>
      </c>
      <c r="C246" s="4">
        <v>206</v>
      </c>
      <c r="D246" s="4" t="s">
        <v>9</v>
      </c>
      <c r="E246" s="4" t="str">
        <f t="shared" si="27"/>
        <v>华东区</v>
      </c>
      <c r="F246" s="4" t="s">
        <v>30</v>
      </c>
      <c r="G246" s="4" t="s">
        <v>349</v>
      </c>
      <c r="H246" s="4" t="s">
        <v>352</v>
      </c>
      <c r="I246" s="83">
        <v>291.38</v>
      </c>
      <c r="J246" s="76">
        <f t="shared" ca="1" si="29"/>
        <v>4.7405532218125962E-2</v>
      </c>
      <c r="K246" s="4" t="str">
        <f t="shared" si="28"/>
        <v>是</v>
      </c>
      <c r="L246" s="4"/>
      <c r="M246" s="4"/>
      <c r="N246" s="4" t="s">
        <v>73</v>
      </c>
      <c r="O246" s="8">
        <v>20000</v>
      </c>
      <c r="P246" s="84">
        <f t="shared" ca="1" si="30"/>
        <v>37232</v>
      </c>
      <c r="Q246" s="7">
        <v>0</v>
      </c>
      <c r="R246" s="59"/>
    </row>
    <row r="247" spans="1:18">
      <c r="A247" s="58" t="str">
        <f t="shared" si="25"/>
        <v>华东区安徽省淮北所</v>
      </c>
      <c r="B247" s="58" t="str">
        <f t="shared" si="26"/>
        <v>标箱组淮北所</v>
      </c>
      <c r="C247" s="4">
        <v>207</v>
      </c>
      <c r="D247" s="4" t="s">
        <v>9</v>
      </c>
      <c r="E247" s="4" t="str">
        <f t="shared" si="27"/>
        <v>华东区</v>
      </c>
      <c r="F247" s="4" t="s">
        <v>30</v>
      </c>
      <c r="G247" s="4" t="s">
        <v>349</v>
      </c>
      <c r="H247" s="4" t="s">
        <v>354</v>
      </c>
      <c r="I247" s="83">
        <v>195.01</v>
      </c>
      <c r="J247" s="76">
        <f t="shared" ca="1" si="29"/>
        <v>3.172679263455537E-2</v>
      </c>
      <c r="K247" s="4" t="str">
        <f t="shared" si="28"/>
        <v>是</v>
      </c>
      <c r="L247" s="4"/>
      <c r="M247" s="4"/>
      <c r="N247" s="4" t="s">
        <v>73</v>
      </c>
      <c r="O247" s="8">
        <v>40000</v>
      </c>
      <c r="P247" s="84">
        <f t="shared" ca="1" si="30"/>
        <v>24918</v>
      </c>
      <c r="Q247" s="7">
        <v>0</v>
      </c>
      <c r="R247" s="59"/>
    </row>
    <row r="248" spans="1:18">
      <c r="A248" s="58" t="str">
        <f t="shared" si="25"/>
        <v>华东区安徽省淮南所</v>
      </c>
      <c r="B248" s="58" t="str">
        <f t="shared" si="26"/>
        <v>标箱组淮南所</v>
      </c>
      <c r="C248" s="4">
        <v>208</v>
      </c>
      <c r="D248" s="4" t="s">
        <v>9</v>
      </c>
      <c r="E248" s="4" t="str">
        <f t="shared" si="27"/>
        <v>华东区</v>
      </c>
      <c r="F248" s="4" t="s">
        <v>30</v>
      </c>
      <c r="G248" s="4" t="s">
        <v>349</v>
      </c>
      <c r="H248" s="4" t="s">
        <v>355</v>
      </c>
      <c r="I248" s="83">
        <v>301.58999999999997</v>
      </c>
      <c r="J248" s="76">
        <f t="shared" ca="1" si="29"/>
        <v>4.9066629355702544E-2</v>
      </c>
      <c r="K248" s="4" t="str">
        <f t="shared" si="28"/>
        <v>是</v>
      </c>
      <c r="L248" s="4"/>
      <c r="M248" s="4"/>
      <c r="N248" s="4" t="s">
        <v>73</v>
      </c>
      <c r="O248" s="8">
        <v>20000</v>
      </c>
      <c r="P248" s="84">
        <f t="shared" ca="1" si="30"/>
        <v>38536</v>
      </c>
      <c r="Q248" s="7">
        <v>0</v>
      </c>
      <c r="R248" s="59"/>
    </row>
    <row r="249" spans="1:18">
      <c r="A249" s="58" t="str">
        <f t="shared" si="25"/>
        <v>华东区安徽省蚌埠所</v>
      </c>
      <c r="B249" s="58" t="str">
        <f t="shared" si="26"/>
        <v>标箱组蚌埠所</v>
      </c>
      <c r="C249" s="4">
        <v>209</v>
      </c>
      <c r="D249" s="4" t="s">
        <v>9</v>
      </c>
      <c r="E249" s="4" t="str">
        <f t="shared" si="27"/>
        <v>华东区</v>
      </c>
      <c r="F249" s="4" t="s">
        <v>30</v>
      </c>
      <c r="G249" s="4" t="s">
        <v>349</v>
      </c>
      <c r="H249" s="4" t="s">
        <v>350</v>
      </c>
      <c r="I249" s="83">
        <v>330.9</v>
      </c>
      <c r="J249" s="76">
        <f t="shared" ca="1" si="29"/>
        <v>5.3835165800596746E-2</v>
      </c>
      <c r="K249" s="4" t="str">
        <f t="shared" si="28"/>
        <v>是</v>
      </c>
      <c r="L249" s="4"/>
      <c r="M249" s="4"/>
      <c r="N249" s="4" t="s">
        <v>73</v>
      </c>
      <c r="O249" s="8">
        <v>65000</v>
      </c>
      <c r="P249" s="84">
        <f t="shared" ca="1" si="30"/>
        <v>42282</v>
      </c>
      <c r="Q249" s="7">
        <v>0</v>
      </c>
      <c r="R249" s="59"/>
    </row>
    <row r="250" spans="1:18">
      <c r="A250" s="58" t="str">
        <f t="shared" si="25"/>
        <v>华东区安徽省阜阳所</v>
      </c>
      <c r="B250" s="58" t="str">
        <f t="shared" si="26"/>
        <v>标箱组阜阳所</v>
      </c>
      <c r="C250" s="4">
        <v>210</v>
      </c>
      <c r="D250" s="4" t="s">
        <v>9</v>
      </c>
      <c r="E250" s="4" t="str">
        <f t="shared" si="27"/>
        <v>华东区</v>
      </c>
      <c r="F250" s="4" t="s">
        <v>30</v>
      </c>
      <c r="G250" s="4" t="s">
        <v>349</v>
      </c>
      <c r="H250" s="4" t="s">
        <v>353</v>
      </c>
      <c r="I250" s="83">
        <v>458.77</v>
      </c>
      <c r="J250" s="76">
        <f t="shared" ca="1" si="29"/>
        <v>7.4638739843879628E-2</v>
      </c>
      <c r="K250" s="4" t="str">
        <f t="shared" si="28"/>
        <v>是</v>
      </c>
      <c r="L250" s="4"/>
      <c r="M250" s="4"/>
      <c r="N250" s="4" t="s">
        <v>73</v>
      </c>
      <c r="O250" s="8">
        <v>120000</v>
      </c>
      <c r="P250" s="84">
        <f t="shared" ca="1" si="30"/>
        <v>58621</v>
      </c>
      <c r="Q250" s="7">
        <v>0</v>
      </c>
      <c r="R250" s="59"/>
    </row>
    <row r="251" spans="1:18">
      <c r="A251" s="58" t="str">
        <f t="shared" si="25"/>
        <v>华东区安徽省安庆所</v>
      </c>
      <c r="B251" s="58" t="str">
        <f t="shared" si="26"/>
        <v>标箱组安庆所</v>
      </c>
      <c r="C251" s="4">
        <v>211</v>
      </c>
      <c r="D251" s="4" t="s">
        <v>9</v>
      </c>
      <c r="E251" s="4" t="str">
        <f t="shared" si="27"/>
        <v>华东区</v>
      </c>
      <c r="F251" s="4" t="s">
        <v>30</v>
      </c>
      <c r="G251" s="4" t="s">
        <v>339</v>
      </c>
      <c r="H251" s="4" t="s">
        <v>340</v>
      </c>
      <c r="I251" s="83">
        <v>221.04</v>
      </c>
      <c r="J251" s="76">
        <f t="shared" ca="1" si="29"/>
        <v>3.5961695523009686E-2</v>
      </c>
      <c r="K251" s="4" t="str">
        <f t="shared" si="28"/>
        <v>是</v>
      </c>
      <c r="L251" s="4"/>
      <c r="M251" s="4"/>
      <c r="N251" s="4" t="s">
        <v>73</v>
      </c>
      <c r="O251" s="8"/>
      <c r="P251" s="84">
        <f t="shared" ca="1" si="30"/>
        <v>28244</v>
      </c>
      <c r="Q251" s="7">
        <v>0</v>
      </c>
      <c r="R251" s="59"/>
    </row>
    <row r="252" spans="1:18">
      <c r="A252" s="58" t="str">
        <f t="shared" si="25"/>
        <v>华东区安徽省宣城所</v>
      </c>
      <c r="B252" s="58" t="str">
        <f t="shared" si="26"/>
        <v>标箱组宣城所</v>
      </c>
      <c r="C252" s="4">
        <v>212</v>
      </c>
      <c r="D252" s="4" t="s">
        <v>9</v>
      </c>
      <c r="E252" s="4" t="str">
        <f t="shared" si="27"/>
        <v>华东区</v>
      </c>
      <c r="F252" s="4" t="s">
        <v>30</v>
      </c>
      <c r="G252" s="4" t="s">
        <v>339</v>
      </c>
      <c r="H252" s="4" t="s">
        <v>348</v>
      </c>
      <c r="I252" s="83">
        <v>248.69</v>
      </c>
      <c r="J252" s="76">
        <f t="shared" ca="1" si="29"/>
        <v>4.0460161326534926E-2</v>
      </c>
      <c r="K252" s="4" t="str">
        <f t="shared" si="28"/>
        <v>是</v>
      </c>
      <c r="L252" s="4"/>
      <c r="M252" s="4"/>
      <c r="N252" s="4" t="s">
        <v>73</v>
      </c>
      <c r="O252" s="8"/>
      <c r="P252" s="84">
        <f t="shared" ca="1" si="30"/>
        <v>31777</v>
      </c>
      <c r="Q252" s="7">
        <v>0</v>
      </c>
      <c r="R252" s="59"/>
    </row>
    <row r="253" spans="1:18">
      <c r="A253" s="58" t="str">
        <f t="shared" si="25"/>
        <v>华东区安徽省宿松所</v>
      </c>
      <c r="B253" s="58" t="str">
        <f t="shared" si="26"/>
        <v>标箱组宿松所</v>
      </c>
      <c r="C253" s="4">
        <v>213</v>
      </c>
      <c r="D253" s="4" t="s">
        <v>9</v>
      </c>
      <c r="E253" s="4" t="str">
        <f t="shared" si="27"/>
        <v>华东区</v>
      </c>
      <c r="F253" s="4" t="s">
        <v>30</v>
      </c>
      <c r="G253" s="4" t="s">
        <v>339</v>
      </c>
      <c r="H253" s="4" t="s">
        <v>347</v>
      </c>
      <c r="I253" s="83">
        <v>194.58</v>
      </c>
      <c r="J253" s="76">
        <f t="shared" ca="1" si="29"/>
        <v>3.1656834576851367E-2</v>
      </c>
      <c r="K253" s="4" t="str">
        <f t="shared" si="28"/>
        <v>是</v>
      </c>
      <c r="L253" s="4"/>
      <c r="M253" s="4"/>
      <c r="N253" s="4" t="s">
        <v>73</v>
      </c>
      <c r="O253" s="8"/>
      <c r="P253" s="84">
        <f t="shared" ca="1" si="30"/>
        <v>24863</v>
      </c>
      <c r="Q253" s="7">
        <v>0</v>
      </c>
      <c r="R253" s="59"/>
    </row>
    <row r="254" spans="1:18">
      <c r="A254" s="58" t="str">
        <f t="shared" si="25"/>
        <v>华东区安徽省池州所</v>
      </c>
      <c r="B254" s="58" t="str">
        <f t="shared" si="26"/>
        <v>标箱组池州所</v>
      </c>
      <c r="C254" s="4">
        <v>214</v>
      </c>
      <c r="D254" s="4" t="s">
        <v>9</v>
      </c>
      <c r="E254" s="4" t="str">
        <f t="shared" si="27"/>
        <v>华东区</v>
      </c>
      <c r="F254" s="4" t="s">
        <v>30</v>
      </c>
      <c r="G254" s="4" t="s">
        <v>339</v>
      </c>
      <c r="H254" s="4" t="s">
        <v>341</v>
      </c>
      <c r="I254" s="83">
        <v>132.29</v>
      </c>
      <c r="J254" s="76">
        <f t="shared" ca="1" si="29"/>
        <v>2.1522677799217117E-2</v>
      </c>
      <c r="K254" s="4" t="str">
        <f t="shared" si="28"/>
        <v>是</v>
      </c>
      <c r="L254" s="4"/>
      <c r="M254" s="4"/>
      <c r="N254" s="4" t="s">
        <v>73</v>
      </c>
      <c r="O254" s="8"/>
      <c r="P254" s="84">
        <f t="shared" ca="1" si="30"/>
        <v>16904</v>
      </c>
      <c r="Q254" s="7">
        <v>0</v>
      </c>
      <c r="R254" s="59"/>
    </row>
    <row r="255" spans="1:18">
      <c r="A255" s="58" t="str">
        <f t="shared" si="25"/>
        <v>华东区安徽省滁州所</v>
      </c>
      <c r="B255" s="58" t="str">
        <f t="shared" si="26"/>
        <v>标箱组滁州所</v>
      </c>
      <c r="C255" s="4">
        <v>215</v>
      </c>
      <c r="D255" s="4" t="s">
        <v>9</v>
      </c>
      <c r="E255" s="4" t="str">
        <f t="shared" si="27"/>
        <v>华东区</v>
      </c>
      <c r="F255" s="4" t="s">
        <v>30</v>
      </c>
      <c r="G255" s="4" t="s">
        <v>339</v>
      </c>
      <c r="H255" s="4" t="s">
        <v>342</v>
      </c>
      <c r="I255" s="83">
        <v>405.01</v>
      </c>
      <c r="J255" s="76">
        <f t="shared" ca="1" si="29"/>
        <v>6.5892355699303989E-2</v>
      </c>
      <c r="K255" s="4" t="str">
        <f t="shared" si="28"/>
        <v>是</v>
      </c>
      <c r="L255" s="4" t="s">
        <v>72</v>
      </c>
      <c r="M255" s="4"/>
      <c r="N255" s="4" t="s">
        <v>73</v>
      </c>
      <c r="O255" s="8">
        <v>45000</v>
      </c>
      <c r="P255" s="84">
        <f t="shared" ca="1" si="30"/>
        <v>51751</v>
      </c>
      <c r="Q255" s="7">
        <v>0</v>
      </c>
      <c r="R255" s="59"/>
    </row>
    <row r="256" spans="1:18">
      <c r="A256" s="58" t="str">
        <f t="shared" si="25"/>
        <v>华东区安徽省芜湖所</v>
      </c>
      <c r="B256" s="58" t="str">
        <f t="shared" si="26"/>
        <v>标箱组芜湖所</v>
      </c>
      <c r="C256" s="4">
        <v>216</v>
      </c>
      <c r="D256" s="4" t="s">
        <v>9</v>
      </c>
      <c r="E256" s="4" t="str">
        <f t="shared" si="27"/>
        <v>华东区</v>
      </c>
      <c r="F256" s="4" t="s">
        <v>30</v>
      </c>
      <c r="G256" s="4" t="s">
        <v>339</v>
      </c>
      <c r="H256" s="4" t="s">
        <v>346</v>
      </c>
      <c r="I256" s="83">
        <v>373.1</v>
      </c>
      <c r="J256" s="76">
        <f t="shared" ca="1" si="29"/>
        <v>6.0700817045036715E-2</v>
      </c>
      <c r="K256" s="4" t="str">
        <f t="shared" si="28"/>
        <v>是</v>
      </c>
      <c r="L256" s="4"/>
      <c r="M256" s="4"/>
      <c r="N256" s="4" t="s">
        <v>73</v>
      </c>
      <c r="O256" s="8"/>
      <c r="P256" s="84">
        <f t="shared" ca="1" si="30"/>
        <v>47674</v>
      </c>
      <c r="Q256" s="7">
        <v>0</v>
      </c>
      <c r="R256" s="59"/>
    </row>
    <row r="257" spans="1:18">
      <c r="A257" s="58" t="str">
        <f t="shared" si="25"/>
        <v>华东区安徽省铜陵所</v>
      </c>
      <c r="B257" s="58" t="str">
        <f t="shared" si="26"/>
        <v>标箱组铜陵所</v>
      </c>
      <c r="C257" s="4">
        <v>217</v>
      </c>
      <c r="D257" s="4" t="s">
        <v>9</v>
      </c>
      <c r="E257" s="4" t="str">
        <f t="shared" si="27"/>
        <v>华东区</v>
      </c>
      <c r="F257" s="4" t="s">
        <v>30</v>
      </c>
      <c r="G257" s="4" t="s">
        <v>339</v>
      </c>
      <c r="H257" s="4" t="s">
        <v>345</v>
      </c>
      <c r="I257" s="83">
        <v>130.11000000000001</v>
      </c>
      <c r="J257" s="76">
        <f t="shared" ca="1" si="29"/>
        <v>2.116800671597354E-2</v>
      </c>
      <c r="K257" s="4" t="str">
        <f t="shared" si="28"/>
        <v>是</v>
      </c>
      <c r="L257" s="4"/>
      <c r="M257" s="4"/>
      <c r="N257" s="4" t="s">
        <v>73</v>
      </c>
      <c r="O257" s="8"/>
      <c r="P257" s="84">
        <f t="shared" ca="1" si="30"/>
        <v>16625</v>
      </c>
      <c r="Q257" s="7">
        <v>0</v>
      </c>
      <c r="R257" s="59"/>
    </row>
    <row r="258" spans="1:18">
      <c r="A258" s="58" t="str">
        <f t="shared" si="25"/>
        <v>华东区安徽省马鞍山所</v>
      </c>
      <c r="B258" s="58" t="str">
        <f t="shared" si="26"/>
        <v>标箱组马鞍山所</v>
      </c>
      <c r="C258" s="4">
        <v>218</v>
      </c>
      <c r="D258" s="4" t="s">
        <v>9</v>
      </c>
      <c r="E258" s="4" t="str">
        <f t="shared" si="27"/>
        <v>华东区</v>
      </c>
      <c r="F258" s="4" t="s">
        <v>30</v>
      </c>
      <c r="G258" s="4" t="s">
        <v>339</v>
      </c>
      <c r="H258" s="4" t="s">
        <v>344</v>
      </c>
      <c r="I258" s="83">
        <v>218.6</v>
      </c>
      <c r="J258" s="76">
        <f t="shared" ca="1" si="29"/>
        <v>3.5564724218828801E-2</v>
      </c>
      <c r="K258" s="4" t="str">
        <f t="shared" si="28"/>
        <v>是</v>
      </c>
      <c r="L258" s="4"/>
      <c r="M258" s="4"/>
      <c r="N258" s="4" t="s">
        <v>73</v>
      </c>
      <c r="O258" s="8"/>
      <c r="P258" s="84">
        <f t="shared" ca="1" si="30"/>
        <v>27932</v>
      </c>
      <c r="Q258" s="7">
        <v>0</v>
      </c>
      <c r="R258" s="59"/>
    </row>
    <row r="259" spans="1:18">
      <c r="A259" s="58" t="str">
        <f t="shared" si="25"/>
        <v>华东区安徽省黄山所</v>
      </c>
      <c r="B259" s="58" t="str">
        <f t="shared" si="26"/>
        <v>标箱组黄山所</v>
      </c>
      <c r="C259" s="4">
        <v>219</v>
      </c>
      <c r="D259" s="4" t="s">
        <v>9</v>
      </c>
      <c r="E259" s="4" t="str">
        <f t="shared" si="27"/>
        <v>华东区</v>
      </c>
      <c r="F259" s="4" t="s">
        <v>30</v>
      </c>
      <c r="G259" s="4" t="s">
        <v>339</v>
      </c>
      <c r="H259" s="4" t="s">
        <v>343</v>
      </c>
      <c r="I259" s="83">
        <v>132.31</v>
      </c>
      <c r="J259" s="76">
        <f t="shared" ca="1" si="29"/>
        <v>2.1525931662366143E-2</v>
      </c>
      <c r="K259" s="4" t="str">
        <f t="shared" si="28"/>
        <v>是</v>
      </c>
      <c r="L259" s="4"/>
      <c r="M259" s="4"/>
      <c r="N259" s="4" t="s">
        <v>73</v>
      </c>
      <c r="O259" s="8"/>
      <c r="P259" s="84">
        <f t="shared" ca="1" si="30"/>
        <v>16906</v>
      </c>
      <c r="Q259" s="7">
        <v>0</v>
      </c>
      <c r="R259" s="59"/>
    </row>
    <row r="260" spans="1:18">
      <c r="A260" s="58" t="str">
        <f t="shared" ref="A260:A323" si="31">E260&amp;F260&amp;H260</f>
        <v>华东区山东省临沂所</v>
      </c>
      <c r="B260" s="58" t="str">
        <f t="shared" si="26"/>
        <v>标箱组临沂所</v>
      </c>
      <c r="C260" s="4">
        <v>220</v>
      </c>
      <c r="D260" s="4" t="s">
        <v>9</v>
      </c>
      <c r="E260" s="4" t="str">
        <f t="shared" si="27"/>
        <v>华东区</v>
      </c>
      <c r="F260" s="4" t="s">
        <v>35</v>
      </c>
      <c r="G260" s="4" t="s">
        <v>401</v>
      </c>
      <c r="H260" s="4" t="s">
        <v>403</v>
      </c>
      <c r="I260" s="83">
        <v>368.91</v>
      </c>
      <c r="J260" s="76">
        <f t="shared" ca="1" si="29"/>
        <v>3.6289858494046125E-2</v>
      </c>
      <c r="K260" s="4" t="str">
        <f t="shared" si="28"/>
        <v>是</v>
      </c>
      <c r="L260" s="4" t="s">
        <v>12</v>
      </c>
      <c r="M260" s="4"/>
      <c r="N260" s="4" t="s">
        <v>73</v>
      </c>
      <c r="O260" s="8"/>
      <c r="P260" s="84">
        <f t="shared" ca="1" si="30"/>
        <v>47138</v>
      </c>
      <c r="Q260" s="7">
        <v>0</v>
      </c>
      <c r="R260" s="59"/>
    </row>
    <row r="261" spans="1:18">
      <c r="A261" s="58" t="str">
        <f t="shared" si="31"/>
        <v>华东区山东省临沭所</v>
      </c>
      <c r="B261" s="58" t="str">
        <f t="shared" si="26"/>
        <v>标箱组临沭所</v>
      </c>
      <c r="C261" s="4">
        <v>221</v>
      </c>
      <c r="D261" s="4" t="s">
        <v>9</v>
      </c>
      <c r="E261" s="4" t="str">
        <f t="shared" si="27"/>
        <v>华东区</v>
      </c>
      <c r="F261" s="4" t="s">
        <v>35</v>
      </c>
      <c r="G261" s="4" t="s">
        <v>401</v>
      </c>
      <c r="H261" s="4" t="s">
        <v>402</v>
      </c>
      <c r="I261" s="83">
        <v>374.23</v>
      </c>
      <c r="J261" s="76">
        <f t="shared" ca="1" si="29"/>
        <v>3.6813189515672876E-2</v>
      </c>
      <c r="K261" s="4" t="str">
        <f t="shared" si="28"/>
        <v>是</v>
      </c>
      <c r="L261" s="4" t="s">
        <v>12</v>
      </c>
      <c r="M261" s="4"/>
      <c r="N261" s="4" t="s">
        <v>73</v>
      </c>
      <c r="O261" s="8"/>
      <c r="P261" s="84">
        <f t="shared" ca="1" si="30"/>
        <v>47818</v>
      </c>
      <c r="Q261" s="7">
        <v>0</v>
      </c>
      <c r="R261" s="59"/>
    </row>
    <row r="262" spans="1:18">
      <c r="A262" s="58" t="str">
        <f t="shared" si="31"/>
        <v>华东区山东省日照所</v>
      </c>
      <c r="B262" s="58" t="str">
        <f t="shared" si="26"/>
        <v>标箱组日照所</v>
      </c>
      <c r="C262" s="4">
        <v>222</v>
      </c>
      <c r="D262" s="4" t="s">
        <v>9</v>
      </c>
      <c r="E262" s="4" t="str">
        <f t="shared" si="27"/>
        <v>华东区</v>
      </c>
      <c r="F262" s="4" t="s">
        <v>35</v>
      </c>
      <c r="G262" s="4" t="s">
        <v>401</v>
      </c>
      <c r="H262" s="4" t="s">
        <v>404</v>
      </c>
      <c r="I262" s="83">
        <v>296.83</v>
      </c>
      <c r="J262" s="76">
        <f t="shared" ca="1" si="29"/>
        <v>2.9199313373960339E-2</v>
      </c>
      <c r="K262" s="4" t="str">
        <f t="shared" si="28"/>
        <v>是</v>
      </c>
      <c r="L262" s="4" t="s">
        <v>12</v>
      </c>
      <c r="M262" s="4"/>
      <c r="N262" s="4" t="s">
        <v>73</v>
      </c>
      <c r="O262" s="8"/>
      <c r="P262" s="84">
        <f t="shared" ca="1" si="30"/>
        <v>37928</v>
      </c>
      <c r="Q262" s="7">
        <v>0</v>
      </c>
      <c r="R262" s="59"/>
    </row>
    <row r="263" spans="1:18">
      <c r="A263" s="58" t="str">
        <f t="shared" si="31"/>
        <v>华东区山东省沂南所</v>
      </c>
      <c r="B263" s="58" t="str">
        <f t="shared" si="26"/>
        <v>标箱组沂南所</v>
      </c>
      <c r="C263" s="4">
        <v>223</v>
      </c>
      <c r="D263" s="4" t="s">
        <v>9</v>
      </c>
      <c r="E263" s="4" t="str">
        <f t="shared" si="27"/>
        <v>华东区</v>
      </c>
      <c r="F263" s="4" t="s">
        <v>35</v>
      </c>
      <c r="G263" s="4" t="s">
        <v>401</v>
      </c>
      <c r="H263" s="4" t="s">
        <v>405</v>
      </c>
      <c r="I263" s="83">
        <v>356.86</v>
      </c>
      <c r="J263" s="76">
        <f t="shared" ca="1" si="29"/>
        <v>3.510449405596297E-2</v>
      </c>
      <c r="K263" s="4" t="str">
        <f t="shared" si="28"/>
        <v>是</v>
      </c>
      <c r="L263" s="4" t="s">
        <v>12</v>
      </c>
      <c r="M263" s="4"/>
      <c r="N263" s="4" t="s">
        <v>73</v>
      </c>
      <c r="O263" s="8"/>
      <c r="P263" s="84">
        <f t="shared" ca="1" si="30"/>
        <v>45599</v>
      </c>
      <c r="Q263" s="7">
        <v>0</v>
      </c>
      <c r="R263" s="59"/>
    </row>
    <row r="264" spans="1:18">
      <c r="A264" s="58" t="str">
        <f t="shared" si="31"/>
        <v>华东区山东省淄博所</v>
      </c>
      <c r="B264" s="58" t="str">
        <f t="shared" si="26"/>
        <v>标箱组淄博所</v>
      </c>
      <c r="C264" s="4">
        <v>224</v>
      </c>
      <c r="D264" s="4" t="s">
        <v>9</v>
      </c>
      <c r="E264" s="4" t="str">
        <f t="shared" si="27"/>
        <v>华东区</v>
      </c>
      <c r="F264" s="4" t="s">
        <v>35</v>
      </c>
      <c r="G264" s="4" t="s">
        <v>401</v>
      </c>
      <c r="H264" s="4" t="s">
        <v>406</v>
      </c>
      <c r="I264" s="83">
        <v>250.01</v>
      </c>
      <c r="J264" s="76">
        <f t="shared" ca="1" si="29"/>
        <v>2.4593606901673771E-2</v>
      </c>
      <c r="K264" s="4" t="str">
        <f t="shared" si="28"/>
        <v>是</v>
      </c>
      <c r="L264" s="4" t="s">
        <v>12</v>
      </c>
      <c r="M264" s="4"/>
      <c r="N264" s="4" t="s">
        <v>73</v>
      </c>
      <c r="O264" s="8"/>
      <c r="P264" s="84">
        <f t="shared" ca="1" si="30"/>
        <v>31946</v>
      </c>
      <c r="Q264" s="7">
        <v>0</v>
      </c>
      <c r="R264" s="59"/>
    </row>
    <row r="265" spans="1:18">
      <c r="A265" s="58" t="str">
        <f t="shared" si="31"/>
        <v>华东区山东省淄川所</v>
      </c>
      <c r="B265" s="58" t="str">
        <f t="shared" si="26"/>
        <v>标箱组淄川所</v>
      </c>
      <c r="C265" s="4">
        <v>225</v>
      </c>
      <c r="D265" s="4" t="s">
        <v>9</v>
      </c>
      <c r="E265" s="4" t="str">
        <f t="shared" si="27"/>
        <v>华东区</v>
      </c>
      <c r="F265" s="4" t="s">
        <v>35</v>
      </c>
      <c r="G265" s="4" t="s">
        <v>401</v>
      </c>
      <c r="H265" s="4" t="s">
        <v>407</v>
      </c>
      <c r="I265" s="83">
        <v>220.58</v>
      </c>
      <c r="J265" s="76">
        <f t="shared" ca="1" si="29"/>
        <v>2.1698563298952846E-2</v>
      </c>
      <c r="K265" s="4" t="str">
        <f t="shared" si="28"/>
        <v>是</v>
      </c>
      <c r="L265" s="4" t="s">
        <v>12</v>
      </c>
      <c r="M265" s="4"/>
      <c r="N265" s="4" t="s">
        <v>73</v>
      </c>
      <c r="O265" s="8"/>
      <c r="P265" s="84">
        <f t="shared" ca="1" si="30"/>
        <v>28185</v>
      </c>
      <c r="Q265" s="7">
        <v>0</v>
      </c>
      <c r="R265" s="59"/>
    </row>
    <row r="266" spans="1:18">
      <c r="A266" s="58" t="str">
        <f t="shared" si="31"/>
        <v>华东区山东省东营所</v>
      </c>
      <c r="B266" s="58" t="str">
        <f t="shared" ref="B266:B329" si="32">IF(N266="省区总监",D266&amp;F266,D266&amp;H266)</f>
        <v>标箱组东营所</v>
      </c>
      <c r="C266" s="4">
        <v>226</v>
      </c>
      <c r="D266" s="4" t="s">
        <v>9</v>
      </c>
      <c r="E266" s="4" t="str">
        <f t="shared" si="27"/>
        <v>华东区</v>
      </c>
      <c r="F266" s="4" t="s">
        <v>35</v>
      </c>
      <c r="G266" s="4" t="s">
        <v>384</v>
      </c>
      <c r="H266" s="4" t="s">
        <v>387</v>
      </c>
      <c r="I266" s="83">
        <v>220.91</v>
      </c>
      <c r="J266" s="76">
        <f t="shared" ca="1" si="29"/>
        <v>2.1731025561572546E-2</v>
      </c>
      <c r="K266" s="4" t="str">
        <f t="shared" si="28"/>
        <v>是</v>
      </c>
      <c r="L266" s="4" t="s">
        <v>75</v>
      </c>
      <c r="M266" s="4" t="s">
        <v>11</v>
      </c>
      <c r="N266" s="4" t="s">
        <v>73</v>
      </c>
      <c r="O266" s="8"/>
      <c r="P266" s="84">
        <f t="shared" ca="1" si="30"/>
        <v>28227</v>
      </c>
      <c r="Q266" s="7">
        <v>0</v>
      </c>
      <c r="R266" s="59"/>
    </row>
    <row r="267" spans="1:18">
      <c r="A267" s="58" t="str">
        <f t="shared" si="31"/>
        <v>华东区山东省德州所</v>
      </c>
      <c r="B267" s="58" t="str">
        <f t="shared" si="32"/>
        <v>标箱组德州所</v>
      </c>
      <c r="C267" s="4">
        <v>227</v>
      </c>
      <c r="D267" s="4" t="s">
        <v>9</v>
      </c>
      <c r="E267" s="4" t="str">
        <f t="shared" si="27"/>
        <v>华东区</v>
      </c>
      <c r="F267" s="4" t="s">
        <v>35</v>
      </c>
      <c r="G267" s="4" t="s">
        <v>384</v>
      </c>
      <c r="H267" s="4" t="s">
        <v>386</v>
      </c>
      <c r="I267" s="83">
        <v>258.75</v>
      </c>
      <c r="J267" s="76">
        <f t="shared" ca="1" si="29"/>
        <v>2.5453365008632007E-2</v>
      </c>
      <c r="K267" s="4" t="str">
        <f t="shared" si="28"/>
        <v>是</v>
      </c>
      <c r="L267" s="4" t="s">
        <v>75</v>
      </c>
      <c r="M267" s="4" t="s">
        <v>11</v>
      </c>
      <c r="N267" s="4" t="s">
        <v>73</v>
      </c>
      <c r="O267" s="8"/>
      <c r="P267" s="84">
        <f t="shared" ca="1" si="30"/>
        <v>33062</v>
      </c>
      <c r="Q267" s="7">
        <v>0</v>
      </c>
      <c r="R267" s="59"/>
    </row>
    <row r="268" spans="1:18">
      <c r="A268" s="58" t="str">
        <f t="shared" si="31"/>
        <v>华东区山东省泰安所</v>
      </c>
      <c r="B268" s="58" t="str">
        <f t="shared" si="32"/>
        <v>标箱组泰安所</v>
      </c>
      <c r="C268" s="4">
        <v>228</v>
      </c>
      <c r="D268" s="4" t="s">
        <v>9</v>
      </c>
      <c r="E268" s="4" t="str">
        <f t="shared" si="27"/>
        <v>华东区</v>
      </c>
      <c r="F268" s="4" t="s">
        <v>35</v>
      </c>
      <c r="G268" s="4" t="s">
        <v>384</v>
      </c>
      <c r="H268" s="4" t="s">
        <v>74</v>
      </c>
      <c r="I268" s="83">
        <v>540.1</v>
      </c>
      <c r="J268" s="76">
        <f t="shared" ca="1" si="29"/>
        <v>5.3129903154249848E-2</v>
      </c>
      <c r="K268" s="4" t="str">
        <f t="shared" si="28"/>
        <v>是</v>
      </c>
      <c r="L268" s="4" t="s">
        <v>75</v>
      </c>
      <c r="M268" s="4" t="s">
        <v>28</v>
      </c>
      <c r="N268" s="4" t="s">
        <v>73</v>
      </c>
      <c r="O268" s="8">
        <v>160000</v>
      </c>
      <c r="P268" s="84">
        <f t="shared" ca="1" si="30"/>
        <v>69013</v>
      </c>
      <c r="Q268" s="7">
        <v>2610000</v>
      </c>
      <c r="R268" s="59"/>
    </row>
    <row r="269" spans="1:18">
      <c r="A269" s="58" t="str">
        <f t="shared" si="31"/>
        <v>华东区山东省济南所</v>
      </c>
      <c r="B269" s="58" t="str">
        <f t="shared" si="32"/>
        <v>标箱组济南所</v>
      </c>
      <c r="C269" s="4">
        <v>229</v>
      </c>
      <c r="D269" s="4" t="s">
        <v>9</v>
      </c>
      <c r="E269" s="4" t="str">
        <f t="shared" si="27"/>
        <v>华东区</v>
      </c>
      <c r="F269" s="4" t="s">
        <v>35</v>
      </c>
      <c r="G269" s="4" t="s">
        <v>384</v>
      </c>
      <c r="H269" s="4" t="s">
        <v>388</v>
      </c>
      <c r="I269" s="83">
        <v>408.04</v>
      </c>
      <c r="J269" s="76">
        <f t="shared" ca="1" si="29"/>
        <v>4.0139095876800791E-2</v>
      </c>
      <c r="K269" s="4" t="str">
        <f t="shared" si="28"/>
        <v>是</v>
      </c>
      <c r="L269" s="4" t="s">
        <v>75</v>
      </c>
      <c r="M269" s="4" t="s">
        <v>11</v>
      </c>
      <c r="N269" s="4" t="s">
        <v>73</v>
      </c>
      <c r="O269" s="8">
        <v>160000</v>
      </c>
      <c r="P269" s="84">
        <f t="shared" ca="1" si="30"/>
        <v>52138</v>
      </c>
      <c r="Q269" s="7">
        <v>0</v>
      </c>
      <c r="R269" s="59"/>
    </row>
    <row r="270" spans="1:18">
      <c r="A270" s="58" t="str">
        <f t="shared" si="31"/>
        <v>华东区山东省滨州所</v>
      </c>
      <c r="B270" s="58" t="str">
        <f t="shared" si="32"/>
        <v>标箱组滨州所</v>
      </c>
      <c r="C270" s="4">
        <v>230</v>
      </c>
      <c r="D270" s="4" t="s">
        <v>9</v>
      </c>
      <c r="E270" s="4" t="str">
        <f t="shared" si="27"/>
        <v>华东区</v>
      </c>
      <c r="F270" s="4" t="s">
        <v>35</v>
      </c>
      <c r="G270" s="4" t="s">
        <v>384</v>
      </c>
      <c r="H270" s="4" t="s">
        <v>385</v>
      </c>
      <c r="I270" s="83">
        <v>391.85</v>
      </c>
      <c r="J270" s="76">
        <f t="shared" ca="1" si="29"/>
        <v>3.8546477598579529E-2</v>
      </c>
      <c r="K270" s="4" t="str">
        <f t="shared" si="28"/>
        <v>是</v>
      </c>
      <c r="L270" s="4" t="s">
        <v>75</v>
      </c>
      <c r="M270" s="4" t="s">
        <v>11</v>
      </c>
      <c r="N270" s="4" t="s">
        <v>73</v>
      </c>
      <c r="O270" s="8"/>
      <c r="P270" s="84">
        <f t="shared" ca="1" si="30"/>
        <v>50070</v>
      </c>
      <c r="Q270" s="7">
        <v>0</v>
      </c>
      <c r="R270" s="59"/>
    </row>
    <row r="271" spans="1:18">
      <c r="A271" s="58" t="str">
        <f t="shared" si="31"/>
        <v>华东区山东省禹城所</v>
      </c>
      <c r="B271" s="58" t="str">
        <f t="shared" si="32"/>
        <v>标箱组禹城所</v>
      </c>
      <c r="C271" s="4">
        <v>231</v>
      </c>
      <c r="D271" s="4" t="s">
        <v>9</v>
      </c>
      <c r="E271" s="4" t="str">
        <f t="shared" si="27"/>
        <v>华东区</v>
      </c>
      <c r="F271" s="4" t="s">
        <v>35</v>
      </c>
      <c r="G271" s="4" t="s">
        <v>384</v>
      </c>
      <c r="H271" s="4" t="s">
        <v>392</v>
      </c>
      <c r="I271" s="83">
        <v>298.73</v>
      </c>
      <c r="J271" s="76">
        <f t="shared" ca="1" si="29"/>
        <v>2.9386217310255612E-2</v>
      </c>
      <c r="K271" s="4" t="str">
        <f t="shared" si="28"/>
        <v>是</v>
      </c>
      <c r="L271" s="4" t="s">
        <v>75</v>
      </c>
      <c r="M271" s="4" t="s">
        <v>11</v>
      </c>
      <c r="N271" s="4" t="s">
        <v>73</v>
      </c>
      <c r="O271" s="8"/>
      <c r="P271" s="84">
        <f t="shared" ca="1" si="30"/>
        <v>38171</v>
      </c>
      <c r="Q271" s="7">
        <v>0</v>
      </c>
      <c r="R271" s="59"/>
    </row>
    <row r="272" spans="1:18">
      <c r="A272" s="58" t="str">
        <f t="shared" si="31"/>
        <v>华东区山东省章丘所</v>
      </c>
      <c r="B272" s="58" t="str">
        <f t="shared" si="32"/>
        <v>标箱组章丘所</v>
      </c>
      <c r="C272" s="4">
        <v>232</v>
      </c>
      <c r="D272" s="4" t="s">
        <v>9</v>
      </c>
      <c r="E272" s="4" t="str">
        <f t="shared" si="27"/>
        <v>华东区</v>
      </c>
      <c r="F272" s="4" t="s">
        <v>35</v>
      </c>
      <c r="G272" s="4" t="s">
        <v>384</v>
      </c>
      <c r="H272" s="4" t="s">
        <v>393</v>
      </c>
      <c r="I272" s="83">
        <v>382.31</v>
      </c>
      <c r="J272" s="76">
        <f t="shared" ca="1" si="29"/>
        <v>3.7608023097391703E-2</v>
      </c>
      <c r="K272" s="4" t="str">
        <f t="shared" si="28"/>
        <v>是</v>
      </c>
      <c r="L272" s="4" t="s">
        <v>75</v>
      </c>
      <c r="M272" s="4" t="s">
        <v>11</v>
      </c>
      <c r="N272" s="4" t="s">
        <v>73</v>
      </c>
      <c r="O272" s="8"/>
      <c r="P272" s="84">
        <f t="shared" ca="1" si="30"/>
        <v>48851</v>
      </c>
      <c r="Q272" s="7">
        <v>0</v>
      </c>
      <c r="R272" s="59"/>
    </row>
    <row r="273" spans="1:18">
      <c r="A273" s="58" t="str">
        <f t="shared" si="31"/>
        <v>华东区山东省聊城所</v>
      </c>
      <c r="B273" s="58" t="str">
        <f t="shared" si="32"/>
        <v>标箱组聊城所</v>
      </c>
      <c r="C273" s="4">
        <v>233</v>
      </c>
      <c r="D273" s="4" t="s">
        <v>9</v>
      </c>
      <c r="E273" s="4" t="str">
        <f t="shared" si="27"/>
        <v>华东区</v>
      </c>
      <c r="F273" s="4" t="s">
        <v>35</v>
      </c>
      <c r="G273" s="4" t="s">
        <v>384</v>
      </c>
      <c r="H273" s="4" t="s">
        <v>390</v>
      </c>
      <c r="I273" s="83">
        <v>297.75</v>
      </c>
      <c r="J273" s="76">
        <f t="shared" ca="1" si="29"/>
        <v>2.9289814227324368E-2</v>
      </c>
      <c r="K273" s="4" t="str">
        <f t="shared" si="28"/>
        <v>是</v>
      </c>
      <c r="L273" s="4" t="s">
        <v>75</v>
      </c>
      <c r="M273" s="4" t="s">
        <v>11</v>
      </c>
      <c r="N273" s="4" t="s">
        <v>73</v>
      </c>
      <c r="O273" s="8"/>
      <c r="P273" s="84">
        <f t="shared" ca="1" si="30"/>
        <v>38046</v>
      </c>
      <c r="Q273" s="7">
        <v>0</v>
      </c>
      <c r="R273" s="59"/>
    </row>
    <row r="274" spans="1:18">
      <c r="A274" s="58" t="str">
        <f t="shared" si="31"/>
        <v>华东区山东省莱芜所</v>
      </c>
      <c r="B274" s="58" t="str">
        <f t="shared" si="32"/>
        <v>标箱组莱芜所</v>
      </c>
      <c r="C274" s="4">
        <v>234</v>
      </c>
      <c r="D274" s="4" t="s">
        <v>9</v>
      </c>
      <c r="E274" s="4" t="str">
        <f t="shared" si="27"/>
        <v>华东区</v>
      </c>
      <c r="F274" s="4" t="s">
        <v>35</v>
      </c>
      <c r="G274" s="4" t="s">
        <v>384</v>
      </c>
      <c r="H274" s="4" t="s">
        <v>389</v>
      </c>
      <c r="I274" s="83">
        <v>151.13999999999999</v>
      </c>
      <c r="J274" s="76">
        <f t="shared" ca="1" si="29"/>
        <v>1.4867716279824701E-2</v>
      </c>
      <c r="K274" s="4" t="str">
        <f t="shared" si="28"/>
        <v>是</v>
      </c>
      <c r="L274" s="4" t="s">
        <v>75</v>
      </c>
      <c r="M274" s="4" t="s">
        <v>11</v>
      </c>
      <c r="N274" s="4" t="s">
        <v>73</v>
      </c>
      <c r="O274" s="8"/>
      <c r="P274" s="84">
        <f t="shared" ca="1" si="30"/>
        <v>19312</v>
      </c>
      <c r="Q274" s="7">
        <v>0</v>
      </c>
      <c r="R274" s="59"/>
    </row>
    <row r="275" spans="1:18">
      <c r="A275" s="58" t="str">
        <f t="shared" si="31"/>
        <v>华东区山东省阳谷所</v>
      </c>
      <c r="B275" s="58" t="str">
        <f t="shared" si="32"/>
        <v>标箱组阳谷所</v>
      </c>
      <c r="C275" s="4">
        <v>235</v>
      </c>
      <c r="D275" s="4" t="s">
        <v>9</v>
      </c>
      <c r="E275" s="4" t="str">
        <f t="shared" si="27"/>
        <v>华东区</v>
      </c>
      <c r="F275" s="4" t="s">
        <v>35</v>
      </c>
      <c r="G275" s="4" t="s">
        <v>384</v>
      </c>
      <c r="H275" s="4" t="s">
        <v>391</v>
      </c>
      <c r="I275" s="83">
        <v>292.52</v>
      </c>
      <c r="J275" s="76">
        <f t="shared" ca="1" si="29"/>
        <v>2.8775336550048443E-2</v>
      </c>
      <c r="K275" s="4" t="str">
        <f t="shared" si="28"/>
        <v>是</v>
      </c>
      <c r="L275" s="4" t="s">
        <v>75</v>
      </c>
      <c r="M275" s="4" t="s">
        <v>11</v>
      </c>
      <c r="N275" s="4" t="s">
        <v>73</v>
      </c>
      <c r="O275" s="8"/>
      <c r="P275" s="84">
        <f t="shared" ca="1" si="30"/>
        <v>37378</v>
      </c>
      <c r="Q275" s="7">
        <v>0</v>
      </c>
      <c r="R275" s="59"/>
    </row>
    <row r="276" spans="1:18">
      <c r="A276" s="58" t="str">
        <f t="shared" si="31"/>
        <v>华东区山东省成武所</v>
      </c>
      <c r="B276" s="58" t="str">
        <f t="shared" si="32"/>
        <v>标箱组成武所</v>
      </c>
      <c r="C276" s="4">
        <v>236</v>
      </c>
      <c r="D276" s="4" t="s">
        <v>9</v>
      </c>
      <c r="E276" s="4" t="str">
        <f t="shared" si="27"/>
        <v>华东区</v>
      </c>
      <c r="F276" s="4" t="s">
        <v>35</v>
      </c>
      <c r="G276" s="4" t="s">
        <v>394</v>
      </c>
      <c r="H276" s="4" t="s">
        <v>395</v>
      </c>
      <c r="I276" s="83">
        <v>404.95</v>
      </c>
      <c r="J276" s="76">
        <f t="shared" ca="1" si="29"/>
        <v>3.9835131054089007E-2</v>
      </c>
      <c r="K276" s="4" t="str">
        <f t="shared" si="28"/>
        <v>是</v>
      </c>
      <c r="L276" s="4" t="s">
        <v>12</v>
      </c>
      <c r="M276" s="4"/>
      <c r="N276" s="4" t="s">
        <v>73</v>
      </c>
      <c r="O276" s="8"/>
      <c r="P276" s="84">
        <f t="shared" ca="1" si="30"/>
        <v>51744</v>
      </c>
      <c r="Q276" s="7">
        <v>0</v>
      </c>
      <c r="R276" s="59"/>
    </row>
    <row r="277" spans="1:18">
      <c r="A277" s="58" t="str">
        <f t="shared" si="31"/>
        <v>华东区山东省枣庄所</v>
      </c>
      <c r="B277" s="58" t="str">
        <f t="shared" si="32"/>
        <v>标箱组枣庄所</v>
      </c>
      <c r="C277" s="4">
        <v>237</v>
      </c>
      <c r="D277" s="4" t="s">
        <v>9</v>
      </c>
      <c r="E277" s="4" t="str">
        <f t="shared" si="27"/>
        <v>华东区</v>
      </c>
      <c r="F277" s="4" t="s">
        <v>35</v>
      </c>
      <c r="G277" s="4" t="s">
        <v>394</v>
      </c>
      <c r="H277" s="4" t="s">
        <v>399</v>
      </c>
      <c r="I277" s="83">
        <v>382.97</v>
      </c>
      <c r="J277" s="76">
        <f t="shared" ca="1" si="29"/>
        <v>3.7672947622631112E-2</v>
      </c>
      <c r="K277" s="4" t="str">
        <f t="shared" si="28"/>
        <v>是</v>
      </c>
      <c r="L277" s="4" t="s">
        <v>12</v>
      </c>
      <c r="M277" s="4"/>
      <c r="N277" s="4" t="s">
        <v>73</v>
      </c>
      <c r="O277" s="8"/>
      <c r="P277" s="84">
        <f t="shared" ca="1" si="30"/>
        <v>48935</v>
      </c>
      <c r="Q277" s="7">
        <v>0</v>
      </c>
      <c r="R277" s="59"/>
    </row>
    <row r="278" spans="1:18">
      <c r="A278" s="58" t="str">
        <f t="shared" si="31"/>
        <v>华东区山东省济宁所</v>
      </c>
      <c r="B278" s="58" t="str">
        <f t="shared" si="32"/>
        <v>标箱组济宁所</v>
      </c>
      <c r="C278" s="4">
        <v>238</v>
      </c>
      <c r="D278" s="4" t="s">
        <v>9</v>
      </c>
      <c r="E278" s="4" t="str">
        <f t="shared" si="27"/>
        <v>华东区</v>
      </c>
      <c r="F278" s="4" t="s">
        <v>35</v>
      </c>
      <c r="G278" s="4" t="s">
        <v>394</v>
      </c>
      <c r="H278" s="4" t="s">
        <v>397</v>
      </c>
      <c r="I278" s="83">
        <v>268.47000000000003</v>
      </c>
      <c r="J278" s="76">
        <f t="shared" ca="1" si="29"/>
        <v>2.640952619852149E-2</v>
      </c>
      <c r="K278" s="4" t="str">
        <f t="shared" si="28"/>
        <v>是</v>
      </c>
      <c r="L278" s="4" t="s">
        <v>12</v>
      </c>
      <c r="M278" s="4"/>
      <c r="N278" s="4" t="s">
        <v>73</v>
      </c>
      <c r="O278" s="8"/>
      <c r="P278" s="84">
        <f t="shared" ca="1" si="30"/>
        <v>34304</v>
      </c>
      <c r="Q278" s="7">
        <v>0</v>
      </c>
      <c r="R278" s="59"/>
    </row>
    <row r="279" spans="1:18">
      <c r="A279" s="58" t="str">
        <f t="shared" si="31"/>
        <v>华东区山东省菏泽所</v>
      </c>
      <c r="B279" s="58" t="str">
        <f t="shared" si="32"/>
        <v>标箱组菏泽所</v>
      </c>
      <c r="C279" s="4">
        <v>239</v>
      </c>
      <c r="D279" s="4" t="s">
        <v>9</v>
      </c>
      <c r="E279" s="4" t="str">
        <f t="shared" si="27"/>
        <v>华东区</v>
      </c>
      <c r="F279" s="4" t="s">
        <v>35</v>
      </c>
      <c r="G279" s="4" t="s">
        <v>394</v>
      </c>
      <c r="H279" s="4" t="s">
        <v>396</v>
      </c>
      <c r="I279" s="83">
        <v>463.38</v>
      </c>
      <c r="J279" s="76">
        <f t="shared" ca="1" si="29"/>
        <v>4.5582918947632459E-2</v>
      </c>
      <c r="K279" s="4" t="str">
        <f t="shared" si="28"/>
        <v>是</v>
      </c>
      <c r="L279" s="4" t="s">
        <v>12</v>
      </c>
      <c r="M279" s="4"/>
      <c r="N279" s="4" t="s">
        <v>73</v>
      </c>
      <c r="O279" s="8"/>
      <c r="P279" s="84">
        <f t="shared" ca="1" si="30"/>
        <v>59210</v>
      </c>
      <c r="Q279" s="7">
        <v>0</v>
      </c>
      <c r="R279" s="59"/>
    </row>
    <row r="280" spans="1:18">
      <c r="A280" s="58" t="str">
        <f t="shared" si="31"/>
        <v>华东区山东省邹城所</v>
      </c>
      <c r="B280" s="58" t="str">
        <f t="shared" si="32"/>
        <v>标箱组邹城所</v>
      </c>
      <c r="C280" s="4">
        <v>240</v>
      </c>
      <c r="D280" s="4" t="s">
        <v>9</v>
      </c>
      <c r="E280" s="4" t="str">
        <f t="shared" si="27"/>
        <v>华东区</v>
      </c>
      <c r="F280" s="4" t="s">
        <v>35</v>
      </c>
      <c r="G280" s="4" t="s">
        <v>394</v>
      </c>
      <c r="H280" s="4" t="s">
        <v>400</v>
      </c>
      <c r="I280" s="83">
        <v>297.01</v>
      </c>
      <c r="J280" s="76">
        <f t="shared" ca="1" si="29"/>
        <v>2.9217020062662E-2</v>
      </c>
      <c r="K280" s="4" t="str">
        <f t="shared" si="28"/>
        <v>是</v>
      </c>
      <c r="L280" s="4" t="s">
        <v>12</v>
      </c>
      <c r="M280" s="4"/>
      <c r="N280" s="4" t="s">
        <v>73</v>
      </c>
      <c r="O280" s="8"/>
      <c r="P280" s="84">
        <f t="shared" ca="1" si="30"/>
        <v>37951</v>
      </c>
      <c r="Q280" s="7">
        <v>0</v>
      </c>
      <c r="R280" s="59"/>
    </row>
    <row r="281" spans="1:18">
      <c r="A281" s="58" t="str">
        <f t="shared" si="31"/>
        <v>华东区山东省金乡所</v>
      </c>
      <c r="B281" s="58" t="str">
        <f t="shared" si="32"/>
        <v>标箱组金乡所</v>
      </c>
      <c r="C281" s="4">
        <v>241</v>
      </c>
      <c r="D281" s="4" t="s">
        <v>9</v>
      </c>
      <c r="E281" s="4" t="str">
        <f t="shared" si="27"/>
        <v>华东区</v>
      </c>
      <c r="F281" s="4" t="s">
        <v>35</v>
      </c>
      <c r="G281" s="4" t="s">
        <v>394</v>
      </c>
      <c r="H281" s="4" t="s">
        <v>398</v>
      </c>
      <c r="I281" s="83">
        <v>263.57</v>
      </c>
      <c r="J281" s="76">
        <f t="shared" ca="1" si="29"/>
        <v>2.5927510783865269E-2</v>
      </c>
      <c r="K281" s="4" t="str">
        <f t="shared" si="28"/>
        <v>是</v>
      </c>
      <c r="L281" s="4" t="s">
        <v>12</v>
      </c>
      <c r="M281" s="4"/>
      <c r="N281" s="4" t="s">
        <v>73</v>
      </c>
      <c r="O281" s="8"/>
      <c r="P281" s="84">
        <f t="shared" ca="1" si="30"/>
        <v>33678</v>
      </c>
      <c r="Q281" s="7">
        <v>0</v>
      </c>
      <c r="R281" s="59"/>
    </row>
    <row r="282" spans="1:18">
      <c r="A282" s="58" t="str">
        <f t="shared" si="31"/>
        <v>华东区山东省即墨所</v>
      </c>
      <c r="B282" s="58" t="str">
        <f t="shared" si="32"/>
        <v>标箱组即墨所</v>
      </c>
      <c r="C282" s="4">
        <v>242</v>
      </c>
      <c r="D282" s="4" t="s">
        <v>9</v>
      </c>
      <c r="E282" s="4" t="str">
        <f t="shared" si="27"/>
        <v>华东区</v>
      </c>
      <c r="F282" s="4" t="s">
        <v>35</v>
      </c>
      <c r="G282" s="4" t="s">
        <v>408</v>
      </c>
      <c r="H282" s="4" t="s">
        <v>410</v>
      </c>
      <c r="I282" s="83">
        <v>406.96</v>
      </c>
      <c r="J282" s="76">
        <f t="shared" ca="1" si="29"/>
        <v>4.0032855744590846E-2</v>
      </c>
      <c r="K282" s="4" t="str">
        <f t="shared" si="28"/>
        <v>是</v>
      </c>
      <c r="L282" s="4" t="s">
        <v>12</v>
      </c>
      <c r="M282" s="4"/>
      <c r="N282" s="4" t="s">
        <v>73</v>
      </c>
      <c r="O282" s="8"/>
      <c r="P282" s="84">
        <f t="shared" ca="1" si="30"/>
        <v>52000</v>
      </c>
      <c r="Q282" s="7">
        <v>0</v>
      </c>
      <c r="R282" s="59"/>
    </row>
    <row r="283" spans="1:18">
      <c r="A283" s="58" t="str">
        <f t="shared" si="31"/>
        <v>华东区山东省威海所</v>
      </c>
      <c r="B283" s="58" t="str">
        <f t="shared" si="32"/>
        <v>标箱组威海所</v>
      </c>
      <c r="C283" s="4">
        <v>243</v>
      </c>
      <c r="D283" s="4" t="s">
        <v>9</v>
      </c>
      <c r="E283" s="4" t="str">
        <f t="shared" si="27"/>
        <v>华东区</v>
      </c>
      <c r="F283" s="4" t="s">
        <v>35</v>
      </c>
      <c r="G283" s="4" t="s">
        <v>408</v>
      </c>
      <c r="H283" s="4" t="s">
        <v>415</v>
      </c>
      <c r="I283" s="83">
        <v>291.45999999999998</v>
      </c>
      <c r="J283" s="76">
        <f t="shared" ca="1" si="29"/>
        <v>2.867106382769424E-2</v>
      </c>
      <c r="K283" s="4" t="str">
        <f t="shared" si="28"/>
        <v>是</v>
      </c>
      <c r="L283" s="4" t="s">
        <v>12</v>
      </c>
      <c r="M283" s="4"/>
      <c r="N283" s="4" t="s">
        <v>73</v>
      </c>
      <c r="O283" s="8"/>
      <c r="P283" s="84">
        <f t="shared" ca="1" si="30"/>
        <v>37242</v>
      </c>
      <c r="Q283" s="7">
        <v>0</v>
      </c>
      <c r="R283" s="59"/>
    </row>
    <row r="284" spans="1:18">
      <c r="A284" s="58" t="str">
        <f t="shared" si="31"/>
        <v>华东区山东省安丘所</v>
      </c>
      <c r="B284" s="58" t="str">
        <f t="shared" si="32"/>
        <v>标箱组安丘所</v>
      </c>
      <c r="C284" s="4">
        <v>244</v>
      </c>
      <c r="D284" s="4" t="s">
        <v>9</v>
      </c>
      <c r="E284" s="4" t="str">
        <f t="shared" si="27"/>
        <v>华东区</v>
      </c>
      <c r="F284" s="4" t="s">
        <v>35</v>
      </c>
      <c r="G284" s="4" t="s">
        <v>408</v>
      </c>
      <c r="H284" s="4" t="s">
        <v>409</v>
      </c>
      <c r="I284" s="83">
        <v>264.11</v>
      </c>
      <c r="J284" s="76">
        <f t="shared" ca="1" si="29"/>
        <v>2.5980630849970241E-2</v>
      </c>
      <c r="K284" s="4" t="str">
        <f t="shared" si="28"/>
        <v>是</v>
      </c>
      <c r="L284" s="4" t="s">
        <v>12</v>
      </c>
      <c r="M284" s="4"/>
      <c r="N284" s="4" t="s">
        <v>73</v>
      </c>
      <c r="O284" s="8"/>
      <c r="P284" s="84">
        <f t="shared" ca="1" si="30"/>
        <v>33747</v>
      </c>
      <c r="Q284" s="7">
        <v>0</v>
      </c>
      <c r="R284" s="59"/>
    </row>
    <row r="285" spans="1:18">
      <c r="A285" s="58" t="str">
        <f t="shared" si="31"/>
        <v>华东区山东省潍坊所</v>
      </c>
      <c r="B285" s="58" t="str">
        <f t="shared" si="32"/>
        <v>标箱组潍坊所</v>
      </c>
      <c r="C285" s="4">
        <v>245</v>
      </c>
      <c r="D285" s="4" t="s">
        <v>9</v>
      </c>
      <c r="E285" s="4" t="str">
        <f t="shared" si="27"/>
        <v>华东区</v>
      </c>
      <c r="F285" s="4" t="s">
        <v>35</v>
      </c>
      <c r="G285" s="4" t="s">
        <v>408</v>
      </c>
      <c r="H285" s="4" t="s">
        <v>416</v>
      </c>
      <c r="I285" s="83">
        <v>353.45</v>
      </c>
      <c r="J285" s="76">
        <f t="shared" ca="1" si="29"/>
        <v>3.4769050675559354E-2</v>
      </c>
      <c r="K285" s="4" t="str">
        <f t="shared" si="28"/>
        <v>是</v>
      </c>
      <c r="L285" s="4" t="s">
        <v>12</v>
      </c>
      <c r="M285" s="4"/>
      <c r="N285" s="4" t="s">
        <v>73</v>
      </c>
      <c r="O285" s="8"/>
      <c r="P285" s="84">
        <f t="shared" ca="1" si="30"/>
        <v>45163</v>
      </c>
      <c r="Q285" s="7">
        <v>0</v>
      </c>
      <c r="R285" s="59"/>
    </row>
    <row r="286" spans="1:18">
      <c r="A286" s="58" t="str">
        <f t="shared" si="31"/>
        <v>华东区山东省烟台所</v>
      </c>
      <c r="B286" s="58" t="str">
        <f t="shared" si="32"/>
        <v>标箱组烟台所</v>
      </c>
      <c r="C286" s="4">
        <v>246</v>
      </c>
      <c r="D286" s="4" t="s">
        <v>9</v>
      </c>
      <c r="E286" s="4" t="str">
        <f t="shared" si="27"/>
        <v>华东区</v>
      </c>
      <c r="F286" s="4" t="s">
        <v>35</v>
      </c>
      <c r="G286" s="4" t="s">
        <v>408</v>
      </c>
      <c r="H286" s="4" t="s">
        <v>417</v>
      </c>
      <c r="I286" s="83">
        <v>332.69</v>
      </c>
      <c r="J286" s="76">
        <f t="shared" ca="1" si="29"/>
        <v>3.2726879245301571E-2</v>
      </c>
      <c r="K286" s="4" t="str">
        <f t="shared" si="28"/>
        <v>是</v>
      </c>
      <c r="L286" s="4" t="s">
        <v>12</v>
      </c>
      <c r="M286" s="4"/>
      <c r="N286" s="4" t="s">
        <v>73</v>
      </c>
      <c r="O286" s="8"/>
      <c r="P286" s="84">
        <f t="shared" ca="1" si="30"/>
        <v>42510</v>
      </c>
      <c r="Q286" s="7">
        <v>0</v>
      </c>
      <c r="R286" s="59"/>
    </row>
    <row r="287" spans="1:18">
      <c r="A287" s="58" t="str">
        <f t="shared" si="31"/>
        <v>华东区山东省胶州所</v>
      </c>
      <c r="B287" s="58" t="str">
        <f t="shared" si="32"/>
        <v>标箱组胶州所</v>
      </c>
      <c r="C287" s="4">
        <v>247</v>
      </c>
      <c r="D287" s="4" t="s">
        <v>9</v>
      </c>
      <c r="E287" s="4" t="str">
        <f t="shared" si="27"/>
        <v>华东区</v>
      </c>
      <c r="F287" s="4" t="s">
        <v>35</v>
      </c>
      <c r="G287" s="4" t="s">
        <v>408</v>
      </c>
      <c r="H287" s="4" t="s">
        <v>411</v>
      </c>
      <c r="I287" s="83">
        <v>278.02999999999997</v>
      </c>
      <c r="J287" s="76">
        <f t="shared" ca="1" si="29"/>
        <v>2.7349948109565047E-2</v>
      </c>
      <c r="K287" s="4" t="str">
        <f t="shared" si="28"/>
        <v>是</v>
      </c>
      <c r="L287" s="4" t="s">
        <v>12</v>
      </c>
      <c r="M287" s="4"/>
      <c r="N287" s="4" t="s">
        <v>73</v>
      </c>
      <c r="O287" s="8"/>
      <c r="P287" s="84">
        <f t="shared" ca="1" si="30"/>
        <v>35526</v>
      </c>
      <c r="Q287" s="7">
        <v>0</v>
      </c>
      <c r="R287" s="59"/>
    </row>
    <row r="288" spans="1:18">
      <c r="A288" s="58" t="str">
        <f t="shared" si="31"/>
        <v>华东区山东省青岛所</v>
      </c>
      <c r="B288" s="58" t="str">
        <f t="shared" si="32"/>
        <v>标箱组青岛所</v>
      </c>
      <c r="C288" s="4">
        <v>248</v>
      </c>
      <c r="D288" s="4" t="s">
        <v>9</v>
      </c>
      <c r="E288" s="4" t="str">
        <f t="shared" si="27"/>
        <v>华东区</v>
      </c>
      <c r="F288" s="4" t="s">
        <v>35</v>
      </c>
      <c r="G288" s="4" t="s">
        <v>408</v>
      </c>
      <c r="H288" s="4" t="s">
        <v>413</v>
      </c>
      <c r="I288" s="83">
        <v>349.22</v>
      </c>
      <c r="J288" s="76">
        <f t="shared" ca="1" si="29"/>
        <v>3.4352943491070417E-2</v>
      </c>
      <c r="K288" s="4" t="str">
        <f t="shared" si="28"/>
        <v>是</v>
      </c>
      <c r="L288" s="4" t="s">
        <v>12</v>
      </c>
      <c r="M288" s="4"/>
      <c r="N288" s="4" t="s">
        <v>73</v>
      </c>
      <c r="O288" s="8"/>
      <c r="P288" s="84">
        <f t="shared" ca="1" si="30"/>
        <v>44623</v>
      </c>
      <c r="Q288" s="7">
        <v>0</v>
      </c>
      <c r="R288" s="59"/>
    </row>
    <row r="289" spans="1:18">
      <c r="A289" s="58" t="str">
        <f t="shared" si="31"/>
        <v>华东区山东省青州所</v>
      </c>
      <c r="B289" s="58" t="str">
        <f t="shared" si="32"/>
        <v>标箱组青州所</v>
      </c>
      <c r="C289" s="4">
        <v>249</v>
      </c>
      <c r="D289" s="4" t="s">
        <v>9</v>
      </c>
      <c r="E289" s="4" t="str">
        <f t="shared" si="27"/>
        <v>华东区</v>
      </c>
      <c r="F289" s="4" t="s">
        <v>35</v>
      </c>
      <c r="G289" s="4" t="s">
        <v>408</v>
      </c>
      <c r="H289" s="4" t="s">
        <v>414</v>
      </c>
      <c r="I289" s="83">
        <v>324.24</v>
      </c>
      <c r="J289" s="76">
        <f t="shared" ca="1" si="29"/>
        <v>3.1895648581251566E-2</v>
      </c>
      <c r="K289" s="4" t="str">
        <f t="shared" si="28"/>
        <v>是</v>
      </c>
      <c r="L289" s="4" t="s">
        <v>12</v>
      </c>
      <c r="M289" s="4"/>
      <c r="N289" s="4" t="s">
        <v>73</v>
      </c>
      <c r="O289" s="8"/>
      <c r="P289" s="84">
        <f t="shared" ca="1" si="30"/>
        <v>41431</v>
      </c>
      <c r="Q289" s="7">
        <v>0</v>
      </c>
      <c r="R289" s="59"/>
    </row>
    <row r="290" spans="1:18">
      <c r="A290" s="58" t="str">
        <f t="shared" si="31"/>
        <v>华东区山东省龙口所</v>
      </c>
      <c r="B290" s="58" t="str">
        <f t="shared" si="32"/>
        <v>标箱组龙口所</v>
      </c>
      <c r="C290" s="4">
        <v>250</v>
      </c>
      <c r="D290" s="4" t="s">
        <v>9</v>
      </c>
      <c r="E290" s="4" t="str">
        <f t="shared" si="27"/>
        <v>华东区</v>
      </c>
      <c r="F290" s="4" t="s">
        <v>35</v>
      </c>
      <c r="G290" s="4" t="s">
        <v>408</v>
      </c>
      <c r="H290" s="4" t="s">
        <v>412</v>
      </c>
      <c r="I290" s="83">
        <v>375.62</v>
      </c>
      <c r="J290" s="76">
        <f t="shared" ca="1" si="29"/>
        <v>3.6949924500646783E-2</v>
      </c>
      <c r="K290" s="4" t="str">
        <f t="shared" si="28"/>
        <v>是</v>
      </c>
      <c r="L290" s="4" t="s">
        <v>12</v>
      </c>
      <c r="M290" s="4"/>
      <c r="N290" s="4" t="s">
        <v>73</v>
      </c>
      <c r="O290" s="8"/>
      <c r="P290" s="84">
        <f t="shared" ca="1" si="30"/>
        <v>47996</v>
      </c>
      <c r="Q290" s="7">
        <v>0</v>
      </c>
      <c r="R290" s="59"/>
    </row>
    <row r="291" spans="1:18">
      <c r="A291" s="58" t="str">
        <f t="shared" si="31"/>
        <v>华东区江苏省南京所</v>
      </c>
      <c r="B291" s="58" t="str">
        <f t="shared" si="32"/>
        <v>标箱组南京所</v>
      </c>
      <c r="C291" s="4">
        <v>251</v>
      </c>
      <c r="D291" s="4" t="s">
        <v>9</v>
      </c>
      <c r="E291" s="4" t="str">
        <f t="shared" si="27"/>
        <v>华东区</v>
      </c>
      <c r="F291" s="4" t="s">
        <v>32</v>
      </c>
      <c r="G291" s="4" t="s">
        <v>367</v>
      </c>
      <c r="H291" s="4" t="s">
        <v>370</v>
      </c>
      <c r="I291" s="83">
        <v>687.9</v>
      </c>
      <c r="J291" s="76">
        <f t="shared" ca="1" si="29"/>
        <v>8.0314486262825335E-2</v>
      </c>
      <c r="K291" s="4" t="str">
        <f t="shared" si="28"/>
        <v>是</v>
      </c>
      <c r="L291" s="4" t="s">
        <v>12</v>
      </c>
      <c r="M291" s="4"/>
      <c r="N291" s="4" t="s">
        <v>73</v>
      </c>
      <c r="O291" s="8"/>
      <c r="P291" s="84">
        <f t="shared" ca="1" si="30"/>
        <v>87898</v>
      </c>
      <c r="Q291" s="7">
        <v>0</v>
      </c>
      <c r="R291" s="59"/>
    </row>
    <row r="292" spans="1:18">
      <c r="A292" s="58" t="str">
        <f t="shared" si="31"/>
        <v>华东区江苏省扬州所</v>
      </c>
      <c r="B292" s="58" t="str">
        <f t="shared" si="32"/>
        <v>标箱组扬州所</v>
      </c>
      <c r="C292" s="4">
        <v>252</v>
      </c>
      <c r="D292" s="4" t="s">
        <v>9</v>
      </c>
      <c r="E292" s="4" t="str">
        <f t="shared" si="27"/>
        <v>华东区</v>
      </c>
      <c r="F292" s="4" t="s">
        <v>32</v>
      </c>
      <c r="G292" s="4" t="s">
        <v>367</v>
      </c>
      <c r="H292" s="4" t="s">
        <v>372</v>
      </c>
      <c r="I292" s="83">
        <v>234.23</v>
      </c>
      <c r="J292" s="76">
        <f t="shared" ca="1" si="29"/>
        <v>2.7347088410149115E-2</v>
      </c>
      <c r="K292" s="4" t="str">
        <f t="shared" si="28"/>
        <v>是</v>
      </c>
      <c r="L292" s="4" t="s">
        <v>12</v>
      </c>
      <c r="M292" s="4"/>
      <c r="N292" s="4" t="s">
        <v>73</v>
      </c>
      <c r="O292" s="8"/>
      <c r="P292" s="84">
        <f t="shared" ca="1" si="30"/>
        <v>29929</v>
      </c>
      <c r="Q292" s="7">
        <v>0</v>
      </c>
      <c r="R292" s="59"/>
    </row>
    <row r="293" spans="1:18">
      <c r="A293" s="58" t="str">
        <f t="shared" si="31"/>
        <v>华东区江苏省江宁所</v>
      </c>
      <c r="B293" s="58" t="str">
        <f t="shared" si="32"/>
        <v>标箱组江宁所</v>
      </c>
      <c r="C293" s="4">
        <v>253</v>
      </c>
      <c r="D293" s="4" t="s">
        <v>9</v>
      </c>
      <c r="E293" s="4" t="str">
        <f t="shared" si="27"/>
        <v>华东区</v>
      </c>
      <c r="F293" s="4" t="s">
        <v>32</v>
      </c>
      <c r="G293" s="4" t="s">
        <v>367</v>
      </c>
      <c r="H293" s="4" t="s">
        <v>369</v>
      </c>
      <c r="I293" s="83">
        <v>266.79000000000002</v>
      </c>
      <c r="J293" s="76">
        <f t="shared" ca="1" si="29"/>
        <v>3.1148570708037757E-2</v>
      </c>
      <c r="K293" s="4" t="str">
        <f t="shared" si="28"/>
        <v>是</v>
      </c>
      <c r="L293" s="4" t="s">
        <v>12</v>
      </c>
      <c r="M293" s="4"/>
      <c r="N293" s="4" t="s">
        <v>73</v>
      </c>
      <c r="O293" s="8"/>
      <c r="P293" s="84">
        <f t="shared" ca="1" si="30"/>
        <v>34090</v>
      </c>
      <c r="Q293" s="7">
        <v>0</v>
      </c>
      <c r="R293" s="59"/>
    </row>
    <row r="294" spans="1:18">
      <c r="A294" s="58" t="str">
        <f t="shared" si="31"/>
        <v>华东区江苏省泰州所</v>
      </c>
      <c r="B294" s="58" t="str">
        <f t="shared" si="32"/>
        <v>标箱组泰州所</v>
      </c>
      <c r="C294" s="4">
        <v>254</v>
      </c>
      <c r="D294" s="4" t="s">
        <v>9</v>
      </c>
      <c r="E294" s="4" t="str">
        <f t="shared" si="27"/>
        <v>华东区</v>
      </c>
      <c r="F294" s="4" t="s">
        <v>32</v>
      </c>
      <c r="G294" s="4" t="s">
        <v>367</v>
      </c>
      <c r="H294" s="4" t="s">
        <v>371</v>
      </c>
      <c r="I294" s="83">
        <v>488.43</v>
      </c>
      <c r="J294" s="76">
        <f t="shared" ca="1" si="29"/>
        <v>5.7025737062584354E-2</v>
      </c>
      <c r="K294" s="4" t="str">
        <f t="shared" si="28"/>
        <v>是</v>
      </c>
      <c r="L294" s="4" t="s">
        <v>12</v>
      </c>
      <c r="M294" s="4"/>
      <c r="N294" s="4" t="s">
        <v>73</v>
      </c>
      <c r="O294" s="8"/>
      <c r="P294" s="84">
        <f t="shared" ca="1" si="30"/>
        <v>62410</v>
      </c>
      <c r="Q294" s="7">
        <v>0</v>
      </c>
      <c r="R294" s="59"/>
    </row>
    <row r="295" spans="1:18">
      <c r="A295" s="58" t="str">
        <f t="shared" si="31"/>
        <v>华东区江苏省镇江所</v>
      </c>
      <c r="B295" s="58" t="str">
        <f t="shared" si="32"/>
        <v>标箱组镇江所</v>
      </c>
      <c r="C295" s="4">
        <v>255</v>
      </c>
      <c r="D295" s="4" t="s">
        <v>9</v>
      </c>
      <c r="E295" s="4" t="str">
        <f t="shared" si="27"/>
        <v>华东区</v>
      </c>
      <c r="F295" s="4" t="s">
        <v>32</v>
      </c>
      <c r="G295" s="4" t="s">
        <v>367</v>
      </c>
      <c r="H295" s="4" t="s">
        <v>373</v>
      </c>
      <c r="I295" s="83">
        <v>322.58999999999997</v>
      </c>
      <c r="J295" s="76">
        <f t="shared" ca="1" si="29"/>
        <v>3.7663396021986949E-2</v>
      </c>
      <c r="K295" s="4" t="str">
        <f t="shared" si="28"/>
        <v>是</v>
      </c>
      <c r="L295" s="4" t="s">
        <v>12</v>
      </c>
      <c r="M295" s="4"/>
      <c r="N295" s="4" t="s">
        <v>73</v>
      </c>
      <c r="O295" s="8"/>
      <c r="P295" s="84">
        <f t="shared" ca="1" si="30"/>
        <v>41220</v>
      </c>
      <c r="Q295" s="7">
        <v>0</v>
      </c>
      <c r="R295" s="59"/>
    </row>
    <row r="296" spans="1:18">
      <c r="A296" s="58" t="str">
        <f t="shared" si="31"/>
        <v>华东区江苏省高邮所</v>
      </c>
      <c r="B296" s="58" t="str">
        <f t="shared" si="32"/>
        <v>标箱组高邮所</v>
      </c>
      <c r="C296" s="4">
        <v>256</v>
      </c>
      <c r="D296" s="4" t="s">
        <v>9</v>
      </c>
      <c r="E296" s="4" t="str">
        <f t="shared" si="27"/>
        <v>华东区</v>
      </c>
      <c r="F296" s="4" t="s">
        <v>32</v>
      </c>
      <c r="G296" s="4" t="s">
        <v>367</v>
      </c>
      <c r="H296" s="4" t="s">
        <v>368</v>
      </c>
      <c r="I296" s="83">
        <v>224.27</v>
      </c>
      <c r="J296" s="76">
        <f t="shared" ca="1" si="29"/>
        <v>2.6184227117551733E-2</v>
      </c>
      <c r="K296" s="4" t="str">
        <f t="shared" si="28"/>
        <v>是</v>
      </c>
      <c r="L296" s="4" t="s">
        <v>12</v>
      </c>
      <c r="M296" s="4"/>
      <c r="N296" s="4" t="s">
        <v>73</v>
      </c>
      <c r="O296" s="8"/>
      <c r="P296" s="84">
        <f t="shared" ca="1" si="30"/>
        <v>28657</v>
      </c>
      <c r="Q296" s="7">
        <v>0</v>
      </c>
      <c r="R296" s="59"/>
    </row>
    <row r="297" spans="1:18">
      <c r="A297" s="58" t="str">
        <f t="shared" si="31"/>
        <v>华东区江苏省宿迁所</v>
      </c>
      <c r="B297" s="58" t="str">
        <f t="shared" si="32"/>
        <v>标箱组宿迁所</v>
      </c>
      <c r="C297" s="4">
        <v>257</v>
      </c>
      <c r="D297" s="4" t="s">
        <v>9</v>
      </c>
      <c r="E297" s="4" t="str">
        <f t="shared" ref="E297:E360" si="33">_xlfn.XLOOKUP($F297,F:F,E:E)</f>
        <v>华东区</v>
      </c>
      <c r="F297" s="4" t="s">
        <v>32</v>
      </c>
      <c r="G297" s="4" t="s">
        <v>359</v>
      </c>
      <c r="H297" s="4" t="s">
        <v>364</v>
      </c>
      <c r="I297" s="83">
        <v>497.74</v>
      </c>
      <c r="J297" s="76">
        <f t="shared" ca="1" si="29"/>
        <v>5.8112708812994157E-2</v>
      </c>
      <c r="K297" s="4" t="str">
        <f t="shared" ref="K297:K360" si="34">_xlfn.XLOOKUP(F297,F:F,K:K,0)</f>
        <v>是</v>
      </c>
      <c r="L297" s="4" t="s">
        <v>12</v>
      </c>
      <c r="M297" s="4"/>
      <c r="N297" s="4" t="s">
        <v>73</v>
      </c>
      <c r="O297" s="8"/>
      <c r="P297" s="84">
        <f t="shared" ca="1" si="30"/>
        <v>63600</v>
      </c>
      <c r="Q297" s="7">
        <v>0</v>
      </c>
      <c r="R297" s="59"/>
    </row>
    <row r="298" spans="1:18">
      <c r="A298" s="58" t="str">
        <f t="shared" si="31"/>
        <v>华东区江苏省徐州所</v>
      </c>
      <c r="B298" s="58" t="str">
        <f t="shared" si="32"/>
        <v>标箱组徐州所</v>
      </c>
      <c r="C298" s="4">
        <v>258</v>
      </c>
      <c r="D298" s="4" t="s">
        <v>9</v>
      </c>
      <c r="E298" s="4" t="str">
        <f t="shared" si="33"/>
        <v>华东区</v>
      </c>
      <c r="F298" s="4" t="s">
        <v>32</v>
      </c>
      <c r="G298" s="4" t="s">
        <v>359</v>
      </c>
      <c r="H298" s="4" t="s">
        <v>365</v>
      </c>
      <c r="I298" s="83">
        <v>650.61</v>
      </c>
      <c r="J298" s="76">
        <f t="shared" ref="J298:J361" ca="1" si="35">I298/SUMIF($F$41:$G$456,$F298,$I$41:$I$456)</f>
        <v>7.5960761604094762E-2</v>
      </c>
      <c r="K298" s="4" t="str">
        <f t="shared" si="34"/>
        <v>是</v>
      </c>
      <c r="L298" s="4" t="s">
        <v>12</v>
      </c>
      <c r="M298" s="4"/>
      <c r="N298" s="4" t="s">
        <v>73</v>
      </c>
      <c r="O298" s="8"/>
      <c r="P298" s="84">
        <f t="shared" ref="P298:P361" ca="1" si="36">ROUND(J298*VLOOKUP(F298,F:P,11,0),0)</f>
        <v>83133</v>
      </c>
      <c r="Q298" s="7">
        <v>0</v>
      </c>
      <c r="R298" s="59"/>
    </row>
    <row r="299" spans="1:18">
      <c r="A299" s="58" t="str">
        <f t="shared" si="31"/>
        <v>华东区江苏省新沂所</v>
      </c>
      <c r="B299" s="58" t="str">
        <f t="shared" si="32"/>
        <v>标箱组新沂所</v>
      </c>
      <c r="C299" s="4">
        <v>259</v>
      </c>
      <c r="D299" s="4" t="s">
        <v>9</v>
      </c>
      <c r="E299" s="4" t="str">
        <f t="shared" si="33"/>
        <v>华东区</v>
      </c>
      <c r="F299" s="4" t="s">
        <v>32</v>
      </c>
      <c r="G299" s="4" t="s">
        <v>359</v>
      </c>
      <c r="H299" s="4" t="s">
        <v>363</v>
      </c>
      <c r="I299" s="83">
        <v>251.24</v>
      </c>
      <c r="J299" s="76">
        <f t="shared" ca="1" si="35"/>
        <v>2.9333059352627179E-2</v>
      </c>
      <c r="K299" s="4" t="str">
        <f t="shared" si="34"/>
        <v>是</v>
      </c>
      <c r="L299" s="4" t="s">
        <v>12</v>
      </c>
      <c r="M299" s="4"/>
      <c r="N299" s="4" t="s">
        <v>73</v>
      </c>
      <c r="O299" s="8"/>
      <c r="P299" s="84">
        <f t="shared" ca="1" si="36"/>
        <v>32103</v>
      </c>
      <c r="Q299" s="7">
        <v>0</v>
      </c>
      <c r="R299" s="59"/>
    </row>
    <row r="300" spans="1:18">
      <c r="A300" s="58" t="str">
        <f t="shared" si="31"/>
        <v>华东区江苏省淮安所</v>
      </c>
      <c r="B300" s="58" t="str">
        <f t="shared" si="32"/>
        <v>标箱组淮安所</v>
      </c>
      <c r="C300" s="4">
        <v>260</v>
      </c>
      <c r="D300" s="4" t="s">
        <v>9</v>
      </c>
      <c r="E300" s="4" t="str">
        <f t="shared" si="33"/>
        <v>华东区</v>
      </c>
      <c r="F300" s="4" t="s">
        <v>32</v>
      </c>
      <c r="G300" s="4" t="s">
        <v>359</v>
      </c>
      <c r="H300" s="4" t="s">
        <v>361</v>
      </c>
      <c r="I300" s="83">
        <v>455.32</v>
      </c>
      <c r="J300" s="76">
        <f t="shared" ca="1" si="35"/>
        <v>5.3160040536690843E-2</v>
      </c>
      <c r="K300" s="4" t="str">
        <f t="shared" si="34"/>
        <v>是</v>
      </c>
      <c r="L300" s="4" t="s">
        <v>12</v>
      </c>
      <c r="M300" s="4"/>
      <c r="N300" s="4" t="s">
        <v>73</v>
      </c>
      <c r="O300" s="8"/>
      <c r="P300" s="84">
        <f t="shared" ca="1" si="36"/>
        <v>58180</v>
      </c>
      <c r="Q300" s="7">
        <v>0</v>
      </c>
      <c r="R300" s="59"/>
    </row>
    <row r="301" spans="1:18">
      <c r="A301" s="58" t="str">
        <f t="shared" si="31"/>
        <v>华东区江苏省滨海所</v>
      </c>
      <c r="B301" s="58" t="str">
        <f t="shared" si="32"/>
        <v>标箱组滨海所</v>
      </c>
      <c r="C301" s="4">
        <v>261</v>
      </c>
      <c r="D301" s="4" t="s">
        <v>9</v>
      </c>
      <c r="E301" s="4" t="str">
        <f t="shared" si="33"/>
        <v>华东区</v>
      </c>
      <c r="F301" s="4" t="s">
        <v>32</v>
      </c>
      <c r="G301" s="4" t="s">
        <v>359</v>
      </c>
      <c r="H301" s="4" t="s">
        <v>360</v>
      </c>
      <c r="I301" s="83">
        <v>216.97</v>
      </c>
      <c r="J301" s="76">
        <f t="shared" ca="1" si="35"/>
        <v>2.5331929182214292E-2</v>
      </c>
      <c r="K301" s="4" t="str">
        <f t="shared" si="34"/>
        <v>是</v>
      </c>
      <c r="L301" s="4" t="s">
        <v>12</v>
      </c>
      <c r="M301" s="4"/>
      <c r="N301" s="4" t="s">
        <v>73</v>
      </c>
      <c r="O301" s="8"/>
      <c r="P301" s="84">
        <f t="shared" ca="1" si="36"/>
        <v>27724</v>
      </c>
      <c r="Q301" s="7">
        <v>0</v>
      </c>
      <c r="R301" s="59"/>
    </row>
    <row r="302" spans="1:18">
      <c r="A302" s="58" t="str">
        <f t="shared" si="31"/>
        <v>华东区江苏省盐城所</v>
      </c>
      <c r="B302" s="58" t="str">
        <f t="shared" si="32"/>
        <v>标箱组盐城所</v>
      </c>
      <c r="C302" s="4">
        <v>262</v>
      </c>
      <c r="D302" s="4" t="s">
        <v>9</v>
      </c>
      <c r="E302" s="4" t="str">
        <f t="shared" si="33"/>
        <v>华东区</v>
      </c>
      <c r="F302" s="4" t="s">
        <v>32</v>
      </c>
      <c r="G302" s="4" t="s">
        <v>359</v>
      </c>
      <c r="H302" s="4" t="s">
        <v>366</v>
      </c>
      <c r="I302" s="83">
        <v>451.94</v>
      </c>
      <c r="J302" s="76">
        <f t="shared" ca="1" si="35"/>
        <v>5.2765414917315429E-2</v>
      </c>
      <c r="K302" s="4" t="str">
        <f t="shared" si="34"/>
        <v>是</v>
      </c>
      <c r="L302" s="4" t="s">
        <v>12</v>
      </c>
      <c r="M302" s="4"/>
      <c r="N302" s="4" t="s">
        <v>73</v>
      </c>
      <c r="O302" s="8"/>
      <c r="P302" s="84">
        <f t="shared" ca="1" si="36"/>
        <v>57748</v>
      </c>
      <c r="Q302" s="7">
        <v>0</v>
      </c>
      <c r="R302" s="59"/>
    </row>
    <row r="303" spans="1:18">
      <c r="A303" s="58" t="str">
        <f t="shared" si="31"/>
        <v>华东区江苏省连云港所</v>
      </c>
      <c r="B303" s="58" t="str">
        <f t="shared" si="32"/>
        <v>标箱组连云港所</v>
      </c>
      <c r="C303" s="4">
        <v>263</v>
      </c>
      <c r="D303" s="4" t="s">
        <v>9</v>
      </c>
      <c r="E303" s="4" t="str">
        <f t="shared" si="33"/>
        <v>华东区</v>
      </c>
      <c r="F303" s="4" t="s">
        <v>32</v>
      </c>
      <c r="G303" s="4" t="s">
        <v>359</v>
      </c>
      <c r="H303" s="4" t="s">
        <v>362</v>
      </c>
      <c r="I303" s="83">
        <v>459.4</v>
      </c>
      <c r="J303" s="76">
        <f t="shared" ca="1" si="35"/>
        <v>5.3636393355345188E-2</v>
      </c>
      <c r="K303" s="4" t="str">
        <f t="shared" si="34"/>
        <v>是</v>
      </c>
      <c r="L303" s="4" t="s">
        <v>12</v>
      </c>
      <c r="M303" s="4"/>
      <c r="N303" s="4" t="s">
        <v>73</v>
      </c>
      <c r="O303" s="8"/>
      <c r="P303" s="84">
        <f t="shared" ca="1" si="36"/>
        <v>58701</v>
      </c>
      <c r="Q303" s="7">
        <v>0</v>
      </c>
      <c r="R303" s="59"/>
    </row>
    <row r="304" spans="1:18">
      <c r="A304" s="58" t="str">
        <f t="shared" si="31"/>
        <v>华东区江苏省南通所</v>
      </c>
      <c r="B304" s="58" t="str">
        <f t="shared" si="32"/>
        <v>标箱组南通所</v>
      </c>
      <c r="C304" s="4">
        <v>264</v>
      </c>
      <c r="D304" s="4" t="s">
        <v>9</v>
      </c>
      <c r="E304" s="4" t="str">
        <f t="shared" si="33"/>
        <v>华东区</v>
      </c>
      <c r="F304" s="4" t="s">
        <v>32</v>
      </c>
      <c r="G304" s="4" t="s">
        <v>374</v>
      </c>
      <c r="H304" s="4" t="s">
        <v>379</v>
      </c>
      <c r="I304" s="83">
        <v>199.17</v>
      </c>
      <c r="J304" s="76">
        <f t="shared" ca="1" si="35"/>
        <v>2.3253723257692864E-2</v>
      </c>
      <c r="K304" s="4" t="str">
        <f t="shared" si="34"/>
        <v>是</v>
      </c>
      <c r="L304" s="4" t="s">
        <v>12</v>
      </c>
      <c r="M304" s="4"/>
      <c r="N304" s="4" t="s">
        <v>73</v>
      </c>
      <c r="O304" s="8"/>
      <c r="P304" s="84">
        <f t="shared" ca="1" si="36"/>
        <v>25449</v>
      </c>
      <c r="Q304" s="7">
        <v>0</v>
      </c>
      <c r="R304" s="59"/>
    </row>
    <row r="305" spans="1:18">
      <c r="A305" s="58" t="str">
        <f t="shared" si="31"/>
        <v>华东区江苏省吴江所</v>
      </c>
      <c r="B305" s="58" t="str">
        <f t="shared" si="32"/>
        <v>标箱组吴江所</v>
      </c>
      <c r="C305" s="4">
        <v>265</v>
      </c>
      <c r="D305" s="4" t="s">
        <v>9</v>
      </c>
      <c r="E305" s="4" t="str">
        <f t="shared" si="33"/>
        <v>华东区</v>
      </c>
      <c r="F305" s="4" t="s">
        <v>32</v>
      </c>
      <c r="G305" s="4" t="s">
        <v>374</v>
      </c>
      <c r="H305" s="4" t="s">
        <v>383</v>
      </c>
      <c r="I305" s="83">
        <v>301.48</v>
      </c>
      <c r="J305" s="76">
        <f t="shared" ca="1" si="35"/>
        <v>3.5198737198017999E-2</v>
      </c>
      <c r="K305" s="4" t="str">
        <f t="shared" si="34"/>
        <v>是</v>
      </c>
      <c r="L305" s="4" t="s">
        <v>12</v>
      </c>
      <c r="M305" s="4"/>
      <c r="N305" s="4" t="s">
        <v>73</v>
      </c>
      <c r="O305" s="8"/>
      <c r="P305" s="84">
        <f t="shared" ca="1" si="36"/>
        <v>38522</v>
      </c>
      <c r="Q305" s="7">
        <v>0</v>
      </c>
      <c r="R305" s="59"/>
    </row>
    <row r="306" spans="1:18">
      <c r="A306" s="58" t="str">
        <f t="shared" si="31"/>
        <v>华东区江苏省如皋所</v>
      </c>
      <c r="B306" s="58" t="str">
        <f t="shared" si="32"/>
        <v>标箱组如皋所</v>
      </c>
      <c r="C306" s="4">
        <v>266</v>
      </c>
      <c r="D306" s="4" t="s">
        <v>9</v>
      </c>
      <c r="E306" s="4" t="str">
        <f t="shared" si="33"/>
        <v>华东区</v>
      </c>
      <c r="F306" s="4" t="s">
        <v>32</v>
      </c>
      <c r="G306" s="4" t="s">
        <v>374</v>
      </c>
      <c r="H306" s="4" t="s">
        <v>380</v>
      </c>
      <c r="I306" s="83">
        <v>441.16</v>
      </c>
      <c r="J306" s="76">
        <f t="shared" ca="1" si="35"/>
        <v>5.1506816048419869E-2</v>
      </c>
      <c r="K306" s="4" t="str">
        <f t="shared" si="34"/>
        <v>是</v>
      </c>
      <c r="L306" s="4" t="s">
        <v>12</v>
      </c>
      <c r="M306" s="4"/>
      <c r="N306" s="4" t="s">
        <v>73</v>
      </c>
      <c r="O306" s="8"/>
      <c r="P306" s="84">
        <f t="shared" ca="1" si="36"/>
        <v>56370</v>
      </c>
      <c r="Q306" s="7">
        <v>0</v>
      </c>
      <c r="R306" s="59"/>
    </row>
    <row r="307" spans="1:18">
      <c r="A307" s="58" t="str">
        <f t="shared" si="31"/>
        <v>华东区江苏省常州所</v>
      </c>
      <c r="B307" s="58" t="str">
        <f t="shared" si="32"/>
        <v>标箱组常州所</v>
      </c>
      <c r="C307" s="4">
        <v>267</v>
      </c>
      <c r="D307" s="4" t="s">
        <v>9</v>
      </c>
      <c r="E307" s="4" t="str">
        <f t="shared" si="33"/>
        <v>华东区</v>
      </c>
      <c r="F307" s="4" t="s">
        <v>32</v>
      </c>
      <c r="G307" s="4" t="s">
        <v>374</v>
      </c>
      <c r="H307" s="4" t="s">
        <v>376</v>
      </c>
      <c r="I307" s="83">
        <v>537.51</v>
      </c>
      <c r="J307" s="76">
        <f t="shared" ca="1" si="35"/>
        <v>6.2755981263455801E-2</v>
      </c>
      <c r="K307" s="4" t="str">
        <f t="shared" si="34"/>
        <v>是</v>
      </c>
      <c r="L307" s="4" t="s">
        <v>12</v>
      </c>
      <c r="M307" s="4"/>
      <c r="N307" s="4" t="s">
        <v>73</v>
      </c>
      <c r="O307" s="8"/>
      <c r="P307" s="84">
        <f t="shared" ca="1" si="36"/>
        <v>68682</v>
      </c>
      <c r="Q307" s="7">
        <v>0</v>
      </c>
      <c r="R307" s="59"/>
    </row>
    <row r="308" spans="1:18">
      <c r="A308" s="58" t="str">
        <f t="shared" si="31"/>
        <v>华东区江苏省常熟所</v>
      </c>
      <c r="B308" s="58" t="str">
        <f t="shared" si="32"/>
        <v>标箱组常熟所</v>
      </c>
      <c r="C308" s="4">
        <v>268</v>
      </c>
      <c r="D308" s="4" t="s">
        <v>9</v>
      </c>
      <c r="E308" s="4" t="str">
        <f t="shared" si="33"/>
        <v>华东区</v>
      </c>
      <c r="F308" s="4" t="s">
        <v>32</v>
      </c>
      <c r="G308" s="4" t="s">
        <v>374</v>
      </c>
      <c r="H308" s="4" t="s">
        <v>375</v>
      </c>
      <c r="I308" s="83">
        <v>451.45</v>
      </c>
      <c r="J308" s="76">
        <f t="shared" ca="1" si="35"/>
        <v>5.2708205877820172E-2</v>
      </c>
      <c r="K308" s="4" t="str">
        <f t="shared" si="34"/>
        <v>是</v>
      </c>
      <c r="L308" s="4" t="s">
        <v>12</v>
      </c>
      <c r="M308" s="4"/>
      <c r="N308" s="4" t="s">
        <v>73</v>
      </c>
      <c r="O308" s="8"/>
      <c r="P308" s="84">
        <f t="shared" ca="1" si="36"/>
        <v>57685</v>
      </c>
      <c r="Q308" s="7">
        <v>0</v>
      </c>
      <c r="R308" s="59"/>
    </row>
    <row r="309" spans="1:18">
      <c r="A309" s="58" t="str">
        <f t="shared" si="31"/>
        <v>华东区江苏省无锡所</v>
      </c>
      <c r="B309" s="58" t="str">
        <f t="shared" si="32"/>
        <v>标箱组无锡所</v>
      </c>
      <c r="C309" s="4">
        <v>269</v>
      </c>
      <c r="D309" s="4" t="s">
        <v>9</v>
      </c>
      <c r="E309" s="4" t="str">
        <f t="shared" si="33"/>
        <v>华东区</v>
      </c>
      <c r="F309" s="4" t="s">
        <v>32</v>
      </c>
      <c r="G309" s="4" t="s">
        <v>374</v>
      </c>
      <c r="H309" s="4" t="s">
        <v>382</v>
      </c>
      <c r="I309" s="83">
        <v>587.72</v>
      </c>
      <c r="J309" s="76">
        <f t="shared" ca="1" si="35"/>
        <v>6.8618156514591813E-2</v>
      </c>
      <c r="K309" s="4" t="str">
        <f t="shared" si="34"/>
        <v>是</v>
      </c>
      <c r="L309" s="4" t="s">
        <v>12</v>
      </c>
      <c r="M309" s="4"/>
      <c r="N309" s="4" t="s">
        <v>73</v>
      </c>
      <c r="O309" s="8"/>
      <c r="P309" s="84">
        <f t="shared" ca="1" si="36"/>
        <v>75097</v>
      </c>
      <c r="Q309" s="7">
        <v>0</v>
      </c>
      <c r="R309" s="59"/>
    </row>
    <row r="310" spans="1:18">
      <c r="A310" s="58" t="str">
        <f t="shared" si="31"/>
        <v>华东区江苏省江阴所</v>
      </c>
      <c r="B310" s="58" t="str">
        <f t="shared" si="32"/>
        <v>标箱组江阴所</v>
      </c>
      <c r="C310" s="4">
        <v>270</v>
      </c>
      <c r="D310" s="4" t="s">
        <v>9</v>
      </c>
      <c r="E310" s="4" t="str">
        <f t="shared" si="33"/>
        <v>华东区</v>
      </c>
      <c r="F310" s="4" t="s">
        <v>32</v>
      </c>
      <c r="G310" s="4" t="s">
        <v>374</v>
      </c>
      <c r="H310" s="4" t="s">
        <v>378</v>
      </c>
      <c r="I310" s="83">
        <v>161.78</v>
      </c>
      <c r="J310" s="76">
        <f t="shared" ca="1" si="35"/>
        <v>1.8888323284779594E-2</v>
      </c>
      <c r="K310" s="4" t="str">
        <f t="shared" si="34"/>
        <v>是</v>
      </c>
      <c r="L310" s="4" t="s">
        <v>12</v>
      </c>
      <c r="M310" s="4"/>
      <c r="N310" s="4" t="s">
        <v>73</v>
      </c>
      <c r="O310" s="8"/>
      <c r="P310" s="84">
        <f t="shared" ca="1" si="36"/>
        <v>20672</v>
      </c>
      <c r="Q310" s="7">
        <v>0</v>
      </c>
      <c r="R310" s="59"/>
    </row>
    <row r="311" spans="1:18">
      <c r="A311" s="58" t="str">
        <f t="shared" si="31"/>
        <v>华东区江苏省海门所</v>
      </c>
      <c r="B311" s="58" t="str">
        <f t="shared" si="32"/>
        <v>标箱组海门所</v>
      </c>
      <c r="C311" s="4">
        <v>271</v>
      </c>
      <c r="D311" s="4" t="s">
        <v>9</v>
      </c>
      <c r="E311" s="4" t="str">
        <f t="shared" si="33"/>
        <v>华东区</v>
      </c>
      <c r="F311" s="4" t="s">
        <v>32</v>
      </c>
      <c r="G311" s="4" t="s">
        <v>374</v>
      </c>
      <c r="H311" s="4" t="s">
        <v>377</v>
      </c>
      <c r="I311" s="83">
        <v>134.51</v>
      </c>
      <c r="J311" s="76">
        <f t="shared" ca="1" si="35"/>
        <v>1.5704465107156031E-2</v>
      </c>
      <c r="K311" s="4" t="str">
        <f t="shared" si="34"/>
        <v>是</v>
      </c>
      <c r="L311" s="4" t="s">
        <v>12</v>
      </c>
      <c r="M311" s="4"/>
      <c r="N311" s="4" t="s">
        <v>73</v>
      </c>
      <c r="O311" s="8"/>
      <c r="P311" s="84">
        <f t="shared" ca="1" si="36"/>
        <v>17187</v>
      </c>
      <c r="Q311" s="7">
        <v>0</v>
      </c>
      <c r="R311" s="59"/>
    </row>
    <row r="312" spans="1:18">
      <c r="A312" s="58" t="str">
        <f t="shared" si="31"/>
        <v>华东区江苏省苏州所</v>
      </c>
      <c r="B312" s="58" t="str">
        <f t="shared" si="32"/>
        <v>标箱组苏州所</v>
      </c>
      <c r="C312" s="4">
        <v>272</v>
      </c>
      <c r="D312" s="4" t="s">
        <v>9</v>
      </c>
      <c r="E312" s="4" t="str">
        <f t="shared" si="33"/>
        <v>华东区</v>
      </c>
      <c r="F312" s="4" t="s">
        <v>32</v>
      </c>
      <c r="G312" s="4" t="s">
        <v>374</v>
      </c>
      <c r="H312" s="4" t="s">
        <v>381</v>
      </c>
      <c r="I312" s="83">
        <v>542.87</v>
      </c>
      <c r="J312" s="76">
        <f t="shared" ca="1" si="35"/>
        <v>6.338177810364877E-2</v>
      </c>
      <c r="K312" s="4" t="str">
        <f t="shared" si="34"/>
        <v>是</v>
      </c>
      <c r="L312" s="4" t="s">
        <v>12</v>
      </c>
      <c r="M312" s="4"/>
      <c r="N312" s="4" t="s">
        <v>73</v>
      </c>
      <c r="O312" s="8"/>
      <c r="P312" s="84">
        <f t="shared" ca="1" si="36"/>
        <v>69367</v>
      </c>
      <c r="Q312" s="7">
        <v>0</v>
      </c>
      <c r="R312" s="59"/>
    </row>
    <row r="313" spans="1:18">
      <c r="A313" s="58" t="str">
        <f t="shared" si="31"/>
        <v>华东区上海市奉贤所</v>
      </c>
      <c r="B313" s="58" t="str">
        <f t="shared" si="32"/>
        <v>标箱组奉贤所</v>
      </c>
      <c r="C313" s="4">
        <v>273</v>
      </c>
      <c r="D313" s="4" t="s">
        <v>9</v>
      </c>
      <c r="E313" s="4" t="str">
        <f t="shared" si="33"/>
        <v>华东区</v>
      </c>
      <c r="F313" s="4" t="s">
        <v>27</v>
      </c>
      <c r="G313" s="4" t="s">
        <v>449</v>
      </c>
      <c r="H313" s="4" t="s">
        <v>451</v>
      </c>
      <c r="I313" s="83">
        <v>171.04</v>
      </c>
      <c r="J313" s="76">
        <f t="shared" ca="1" si="35"/>
        <v>6.9081949997980521E-2</v>
      </c>
      <c r="K313" s="4" t="str">
        <f t="shared" si="34"/>
        <v>否</v>
      </c>
      <c r="L313" s="4" t="s">
        <v>12</v>
      </c>
      <c r="M313" s="4"/>
      <c r="N313" s="4" t="s">
        <v>73</v>
      </c>
      <c r="O313" s="7"/>
      <c r="P313" s="84">
        <f t="shared" ca="1" si="36"/>
        <v>21855</v>
      </c>
      <c r="Q313" s="7">
        <v>0</v>
      </c>
      <c r="R313" s="59"/>
    </row>
    <row r="314" spans="1:18">
      <c r="A314" s="58" t="str">
        <f t="shared" si="31"/>
        <v>华东区上海市宝山所</v>
      </c>
      <c r="B314" s="58" t="str">
        <f t="shared" si="32"/>
        <v>标箱组宝山所</v>
      </c>
      <c r="C314" s="4">
        <v>274</v>
      </c>
      <c r="D314" s="4" t="s">
        <v>9</v>
      </c>
      <c r="E314" s="4" t="str">
        <f t="shared" si="33"/>
        <v>华东区</v>
      </c>
      <c r="F314" s="4" t="s">
        <v>27</v>
      </c>
      <c r="G314" s="4" t="s">
        <v>449</v>
      </c>
      <c r="H314" s="4" t="s">
        <v>450</v>
      </c>
      <c r="I314" s="83">
        <v>983.69</v>
      </c>
      <c r="J314" s="76">
        <f t="shared" ca="1" si="35"/>
        <v>0.39730603013045762</v>
      </c>
      <c r="K314" s="4" t="str">
        <f t="shared" si="34"/>
        <v>否</v>
      </c>
      <c r="L314" s="4" t="s">
        <v>12</v>
      </c>
      <c r="M314" s="4"/>
      <c r="N314" s="4" t="s">
        <v>73</v>
      </c>
      <c r="O314" s="7"/>
      <c r="P314" s="84">
        <f t="shared" ca="1" si="36"/>
        <v>125694</v>
      </c>
      <c r="Q314" s="7">
        <v>0</v>
      </c>
      <c r="R314" s="59"/>
    </row>
    <row r="315" spans="1:18">
      <c r="A315" s="58" t="str">
        <f t="shared" si="31"/>
        <v>华东区上海市松江所</v>
      </c>
      <c r="B315" s="58" t="str">
        <f t="shared" si="32"/>
        <v>标箱组松江所</v>
      </c>
      <c r="C315" s="4">
        <v>275</v>
      </c>
      <c r="D315" s="4" t="s">
        <v>9</v>
      </c>
      <c r="E315" s="4" t="str">
        <f t="shared" si="33"/>
        <v>华东区</v>
      </c>
      <c r="F315" s="4" t="s">
        <v>27</v>
      </c>
      <c r="G315" s="4" t="s">
        <v>449</v>
      </c>
      <c r="H315" s="4" t="s">
        <v>454</v>
      </c>
      <c r="I315" s="83">
        <v>207.06</v>
      </c>
      <c r="J315" s="76">
        <f t="shared" ca="1" si="35"/>
        <v>8.3630195080576758E-2</v>
      </c>
      <c r="K315" s="4" t="str">
        <f t="shared" si="34"/>
        <v>否</v>
      </c>
      <c r="L315" s="4" t="s">
        <v>12</v>
      </c>
      <c r="M315" s="4"/>
      <c r="N315" s="4" t="s">
        <v>73</v>
      </c>
      <c r="O315" s="7"/>
      <c r="P315" s="84">
        <f t="shared" ca="1" si="36"/>
        <v>26458</v>
      </c>
      <c r="Q315" s="7">
        <v>0</v>
      </c>
      <c r="R315" s="59"/>
    </row>
    <row r="316" spans="1:18">
      <c r="A316" s="58" t="str">
        <f t="shared" si="31"/>
        <v>华东区上海市浦东所</v>
      </c>
      <c r="B316" s="58" t="str">
        <f t="shared" si="32"/>
        <v>标箱组浦东所</v>
      </c>
      <c r="C316" s="4">
        <v>276</v>
      </c>
      <c r="D316" s="4" t="s">
        <v>9</v>
      </c>
      <c r="E316" s="4" t="str">
        <f t="shared" si="33"/>
        <v>华东区</v>
      </c>
      <c r="F316" s="4" t="s">
        <v>27</v>
      </c>
      <c r="G316" s="4" t="s">
        <v>449</v>
      </c>
      <c r="H316" s="4" t="s">
        <v>453</v>
      </c>
      <c r="I316" s="83">
        <v>492.24</v>
      </c>
      <c r="J316" s="76">
        <f t="shared" ca="1" si="35"/>
        <v>0.19881255301102629</v>
      </c>
      <c r="K316" s="4" t="str">
        <f t="shared" si="34"/>
        <v>否</v>
      </c>
      <c r="L316" s="4" t="s">
        <v>12</v>
      </c>
      <c r="M316" s="4"/>
      <c r="N316" s="4" t="s">
        <v>73</v>
      </c>
      <c r="O316" s="7"/>
      <c r="P316" s="84">
        <f t="shared" ca="1" si="36"/>
        <v>62897</v>
      </c>
      <c r="Q316" s="7">
        <v>0</v>
      </c>
      <c r="R316" s="59"/>
    </row>
    <row r="317" spans="1:18">
      <c r="A317" s="58" t="str">
        <f t="shared" si="31"/>
        <v>华东区上海市闵行所</v>
      </c>
      <c r="B317" s="58" t="str">
        <f t="shared" si="32"/>
        <v>标箱组闵行所</v>
      </c>
      <c r="C317" s="4">
        <v>277</v>
      </c>
      <c r="D317" s="4" t="s">
        <v>9</v>
      </c>
      <c r="E317" s="4" t="str">
        <f t="shared" si="33"/>
        <v>华东区</v>
      </c>
      <c r="F317" s="4" t="s">
        <v>27</v>
      </c>
      <c r="G317" s="4" t="s">
        <v>449</v>
      </c>
      <c r="H317" s="4" t="s">
        <v>452</v>
      </c>
      <c r="I317" s="83">
        <v>621.87</v>
      </c>
      <c r="J317" s="76">
        <f t="shared" ca="1" si="35"/>
        <v>0.25116927177995879</v>
      </c>
      <c r="K317" s="4" t="str">
        <f t="shared" si="34"/>
        <v>否</v>
      </c>
      <c r="L317" s="4" t="s">
        <v>12</v>
      </c>
      <c r="M317" s="4"/>
      <c r="N317" s="4" t="s">
        <v>73</v>
      </c>
      <c r="O317" s="7"/>
      <c r="P317" s="84">
        <f t="shared" ca="1" si="36"/>
        <v>79461</v>
      </c>
      <c r="Q317" s="7">
        <v>0</v>
      </c>
      <c r="R317" s="59"/>
    </row>
    <row r="318" spans="1:18">
      <c r="A318" s="58" t="str">
        <f t="shared" si="31"/>
        <v>华东区江西省上饶所</v>
      </c>
      <c r="B318" s="58" t="str">
        <f t="shared" si="32"/>
        <v>标箱组上饶所</v>
      </c>
      <c r="C318" s="4">
        <v>278</v>
      </c>
      <c r="D318" s="4" t="s">
        <v>9</v>
      </c>
      <c r="E318" s="4" t="str">
        <f t="shared" si="33"/>
        <v>华东区</v>
      </c>
      <c r="F318" s="4" t="s">
        <v>34</v>
      </c>
      <c r="G318" s="4" t="s">
        <v>433</v>
      </c>
      <c r="H318" s="4" t="s">
        <v>440</v>
      </c>
      <c r="I318" s="83">
        <v>356.93</v>
      </c>
      <c r="J318" s="76">
        <f t="shared" ca="1" si="35"/>
        <v>7.8835653956249779E-2</v>
      </c>
      <c r="K318" s="4" t="str">
        <f t="shared" si="34"/>
        <v>是</v>
      </c>
      <c r="L318" s="4" t="s">
        <v>12</v>
      </c>
      <c r="M318" s="4"/>
      <c r="N318" s="4" t="s">
        <v>73</v>
      </c>
      <c r="O318" s="8"/>
      <c r="P318" s="84">
        <f t="shared" ca="1" si="36"/>
        <v>45608</v>
      </c>
      <c r="Q318" s="7">
        <v>0</v>
      </c>
      <c r="R318" s="59"/>
    </row>
    <row r="319" spans="1:18">
      <c r="A319" s="58" t="str">
        <f t="shared" si="31"/>
        <v>华东区江西省九江所</v>
      </c>
      <c r="B319" s="58" t="str">
        <f t="shared" si="32"/>
        <v>标箱组九江所</v>
      </c>
      <c r="C319" s="4">
        <v>279</v>
      </c>
      <c r="D319" s="4" t="s">
        <v>9</v>
      </c>
      <c r="E319" s="4" t="str">
        <f t="shared" si="33"/>
        <v>华东区</v>
      </c>
      <c r="F319" s="4" t="s">
        <v>34</v>
      </c>
      <c r="G319" s="4" t="s">
        <v>433</v>
      </c>
      <c r="H319" s="4" t="s">
        <v>437</v>
      </c>
      <c r="I319" s="83">
        <v>250.35</v>
      </c>
      <c r="J319" s="76">
        <f t="shared" ca="1" si="35"/>
        <v>5.5295172633141314E-2</v>
      </c>
      <c r="K319" s="4" t="str">
        <f t="shared" si="34"/>
        <v>是</v>
      </c>
      <c r="L319" s="4" t="s">
        <v>12</v>
      </c>
      <c r="M319" s="4"/>
      <c r="N319" s="4" t="s">
        <v>73</v>
      </c>
      <c r="O319" s="8"/>
      <c r="P319" s="84">
        <f t="shared" ca="1" si="36"/>
        <v>31989</v>
      </c>
      <c r="Q319" s="7">
        <v>0</v>
      </c>
      <c r="R319" s="59"/>
    </row>
    <row r="320" spans="1:18">
      <c r="A320" s="58" t="str">
        <f t="shared" si="31"/>
        <v>华东区江西省南昌所</v>
      </c>
      <c r="B320" s="58" t="str">
        <f t="shared" si="32"/>
        <v>标箱组南昌所</v>
      </c>
      <c r="C320" s="4">
        <v>280</v>
      </c>
      <c r="D320" s="4" t="s">
        <v>9</v>
      </c>
      <c r="E320" s="4" t="str">
        <f t="shared" si="33"/>
        <v>华东区</v>
      </c>
      <c r="F320" s="4" t="s">
        <v>34</v>
      </c>
      <c r="G320" s="4" t="s">
        <v>433</v>
      </c>
      <c r="H320" s="4" t="s">
        <v>438</v>
      </c>
      <c r="I320" s="83">
        <v>653.80999999999995</v>
      </c>
      <c r="J320" s="76">
        <f t="shared" ca="1" si="35"/>
        <v>0.14440797611054174</v>
      </c>
      <c r="K320" s="4" t="str">
        <f t="shared" si="34"/>
        <v>是</v>
      </c>
      <c r="L320" s="4" t="s">
        <v>12</v>
      </c>
      <c r="M320" s="4"/>
      <c r="N320" s="4" t="s">
        <v>73</v>
      </c>
      <c r="O320" s="8"/>
      <c r="P320" s="84">
        <f t="shared" ca="1" si="36"/>
        <v>83542</v>
      </c>
      <c r="Q320" s="7">
        <v>0</v>
      </c>
      <c r="R320" s="59"/>
    </row>
    <row r="321" spans="1:18">
      <c r="A321" s="58" t="str">
        <f t="shared" si="31"/>
        <v>华东区江西省德安所</v>
      </c>
      <c r="B321" s="58" t="str">
        <f t="shared" si="32"/>
        <v>标箱组德安所</v>
      </c>
      <c r="C321" s="4">
        <v>281</v>
      </c>
      <c r="D321" s="4" t="s">
        <v>9</v>
      </c>
      <c r="E321" s="4" t="str">
        <f t="shared" si="33"/>
        <v>华东区</v>
      </c>
      <c r="F321" s="4" t="s">
        <v>34</v>
      </c>
      <c r="G321" s="4" t="s">
        <v>433</v>
      </c>
      <c r="H321" s="4" t="s">
        <v>434</v>
      </c>
      <c r="I321" s="83">
        <v>205.43</v>
      </c>
      <c r="J321" s="76">
        <f t="shared" ca="1" si="35"/>
        <v>4.5373626179453647E-2</v>
      </c>
      <c r="K321" s="4" t="str">
        <f t="shared" si="34"/>
        <v>是</v>
      </c>
      <c r="L321" s="4" t="s">
        <v>12</v>
      </c>
      <c r="M321" s="4"/>
      <c r="N321" s="4" t="s">
        <v>73</v>
      </c>
      <c r="O321" s="8"/>
      <c r="P321" s="84">
        <f t="shared" ca="1" si="36"/>
        <v>26249</v>
      </c>
      <c r="Q321" s="7">
        <v>0</v>
      </c>
      <c r="R321" s="59"/>
    </row>
    <row r="322" spans="1:18">
      <c r="A322" s="58" t="str">
        <f t="shared" si="31"/>
        <v>华东区江西省抚州所</v>
      </c>
      <c r="B322" s="58" t="str">
        <f t="shared" si="32"/>
        <v>标箱组抚州所</v>
      </c>
      <c r="C322" s="4">
        <v>282</v>
      </c>
      <c r="D322" s="4" t="s">
        <v>9</v>
      </c>
      <c r="E322" s="4" t="str">
        <f t="shared" si="33"/>
        <v>华东区</v>
      </c>
      <c r="F322" s="4" t="s">
        <v>34</v>
      </c>
      <c r="G322" s="4" t="s">
        <v>433</v>
      </c>
      <c r="H322" s="4" t="s">
        <v>435</v>
      </c>
      <c r="I322" s="83">
        <v>357.91</v>
      </c>
      <c r="J322" s="76">
        <f t="shared" ca="1" si="35"/>
        <v>7.90521079973142E-2</v>
      </c>
      <c r="K322" s="4" t="str">
        <f t="shared" si="34"/>
        <v>是</v>
      </c>
      <c r="L322" s="4" t="s">
        <v>12</v>
      </c>
      <c r="M322" s="4"/>
      <c r="N322" s="4" t="s">
        <v>73</v>
      </c>
      <c r="O322" s="8"/>
      <c r="P322" s="84">
        <f t="shared" ca="1" si="36"/>
        <v>45733</v>
      </c>
      <c r="Q322" s="7">
        <v>0</v>
      </c>
      <c r="R322" s="59"/>
    </row>
    <row r="323" spans="1:18">
      <c r="A323" s="58" t="str">
        <f t="shared" si="31"/>
        <v>华东区江西省景德镇所</v>
      </c>
      <c r="B323" s="58" t="str">
        <f t="shared" si="32"/>
        <v>标箱组景德镇所</v>
      </c>
      <c r="C323" s="4">
        <v>283</v>
      </c>
      <c r="D323" s="4" t="s">
        <v>9</v>
      </c>
      <c r="E323" s="4" t="str">
        <f t="shared" si="33"/>
        <v>华东区</v>
      </c>
      <c r="F323" s="4" t="s">
        <v>34</v>
      </c>
      <c r="G323" s="4" t="s">
        <v>433</v>
      </c>
      <c r="H323" s="4" t="s">
        <v>436</v>
      </c>
      <c r="I323" s="83">
        <v>162.18</v>
      </c>
      <c r="J323" s="76">
        <f t="shared" ca="1" si="35"/>
        <v>3.5820935081457395E-2</v>
      </c>
      <c r="K323" s="4" t="str">
        <f t="shared" si="34"/>
        <v>是</v>
      </c>
      <c r="L323" s="4" t="s">
        <v>12</v>
      </c>
      <c r="M323" s="4"/>
      <c r="N323" s="4" t="s">
        <v>73</v>
      </c>
      <c r="O323" s="8"/>
      <c r="P323" s="84">
        <f t="shared" ca="1" si="36"/>
        <v>20723</v>
      </c>
      <c r="Q323" s="7">
        <v>0</v>
      </c>
      <c r="R323" s="59"/>
    </row>
    <row r="324" spans="1:18">
      <c r="A324" s="58" t="str">
        <f t="shared" ref="A324:A387" si="37">E324&amp;F324&amp;H324</f>
        <v>华东区江西省鄱阳所</v>
      </c>
      <c r="B324" s="58" t="str">
        <f t="shared" si="32"/>
        <v>标箱组鄱阳所</v>
      </c>
      <c r="C324" s="4">
        <v>284</v>
      </c>
      <c r="D324" s="4" t="s">
        <v>9</v>
      </c>
      <c r="E324" s="4" t="str">
        <f t="shared" si="33"/>
        <v>华东区</v>
      </c>
      <c r="F324" s="4" t="s">
        <v>34</v>
      </c>
      <c r="G324" s="4" t="s">
        <v>433</v>
      </c>
      <c r="H324" s="4" t="s">
        <v>439</v>
      </c>
      <c r="I324" s="83">
        <v>286.58999999999997</v>
      </c>
      <c r="J324" s="76">
        <f t="shared" ca="1" si="35"/>
        <v>6.329955472311552E-2</v>
      </c>
      <c r="K324" s="4" t="str">
        <f t="shared" si="34"/>
        <v>是</v>
      </c>
      <c r="L324" s="4" t="s">
        <v>12</v>
      </c>
      <c r="M324" s="4"/>
      <c r="N324" s="4" t="s">
        <v>73</v>
      </c>
      <c r="O324" s="8"/>
      <c r="P324" s="84">
        <f t="shared" ca="1" si="36"/>
        <v>36620</v>
      </c>
      <c r="Q324" s="7">
        <v>0</v>
      </c>
      <c r="R324" s="59"/>
    </row>
    <row r="325" spans="1:18">
      <c r="A325" s="58" t="str">
        <f t="shared" si="37"/>
        <v>华东区江西省鹰潭所</v>
      </c>
      <c r="B325" s="58" t="str">
        <f t="shared" si="32"/>
        <v>标箱组鹰潭所</v>
      </c>
      <c r="C325" s="4">
        <v>285</v>
      </c>
      <c r="D325" s="4" t="s">
        <v>9</v>
      </c>
      <c r="E325" s="4" t="str">
        <f t="shared" si="33"/>
        <v>华东区</v>
      </c>
      <c r="F325" s="4" t="s">
        <v>34</v>
      </c>
      <c r="G325" s="4" t="s">
        <v>433</v>
      </c>
      <c r="H325" s="4" t="s">
        <v>441</v>
      </c>
      <c r="I325" s="83">
        <v>115.58</v>
      </c>
      <c r="J325" s="76">
        <f t="shared" ca="1" si="35"/>
        <v>2.5528324557373569E-2</v>
      </c>
      <c r="K325" s="4" t="str">
        <f t="shared" si="34"/>
        <v>是</v>
      </c>
      <c r="L325" s="4" t="s">
        <v>12</v>
      </c>
      <c r="M325" s="4"/>
      <c r="N325" s="4" t="s">
        <v>73</v>
      </c>
      <c r="O325" s="8"/>
      <c r="P325" s="84">
        <f t="shared" ca="1" si="36"/>
        <v>14769</v>
      </c>
      <c r="Q325" s="7">
        <v>0</v>
      </c>
      <c r="R325" s="59"/>
    </row>
    <row r="326" spans="1:18">
      <c r="A326" s="58" t="str">
        <f t="shared" si="37"/>
        <v>华东区江西省吉安所</v>
      </c>
      <c r="B326" s="58" t="str">
        <f t="shared" si="32"/>
        <v>标箱组吉安所</v>
      </c>
      <c r="C326" s="4">
        <v>286</v>
      </c>
      <c r="D326" s="4" t="s">
        <v>9</v>
      </c>
      <c r="E326" s="4" t="str">
        <f t="shared" si="33"/>
        <v>华东区</v>
      </c>
      <c r="F326" s="4" t="s">
        <v>34</v>
      </c>
      <c r="G326" s="4" t="s">
        <v>442</v>
      </c>
      <c r="H326" s="4" t="s">
        <v>444</v>
      </c>
      <c r="I326" s="83">
        <v>442.25</v>
      </c>
      <c r="J326" s="76">
        <f t="shared" ca="1" si="35"/>
        <v>9.7680407817083079E-2</v>
      </c>
      <c r="K326" s="4" t="str">
        <f t="shared" si="34"/>
        <v>是</v>
      </c>
      <c r="L326" s="4" t="s">
        <v>12</v>
      </c>
      <c r="M326" s="4"/>
      <c r="N326" s="4" t="s">
        <v>73</v>
      </c>
      <c r="O326" s="8"/>
      <c r="P326" s="84">
        <f t="shared" ca="1" si="36"/>
        <v>56510</v>
      </c>
      <c r="Q326" s="7">
        <v>0</v>
      </c>
      <c r="R326" s="59"/>
    </row>
    <row r="327" spans="1:18">
      <c r="A327" s="58" t="str">
        <f t="shared" si="37"/>
        <v>华东区江西省宜春所</v>
      </c>
      <c r="B327" s="58" t="str">
        <f t="shared" si="32"/>
        <v>标箱组宜春所</v>
      </c>
      <c r="C327" s="4">
        <v>287</v>
      </c>
      <c r="D327" s="4" t="s">
        <v>9</v>
      </c>
      <c r="E327" s="4" t="str">
        <f t="shared" si="33"/>
        <v>华东区</v>
      </c>
      <c r="F327" s="4" t="s">
        <v>34</v>
      </c>
      <c r="G327" s="4" t="s">
        <v>442</v>
      </c>
      <c r="H327" s="4" t="s">
        <v>448</v>
      </c>
      <c r="I327" s="83">
        <v>496.96</v>
      </c>
      <c r="J327" s="76">
        <f t="shared" ca="1" si="35"/>
        <v>0.10976428596671024</v>
      </c>
      <c r="K327" s="4" t="str">
        <f t="shared" si="34"/>
        <v>是</v>
      </c>
      <c r="L327" s="4" t="s">
        <v>12</v>
      </c>
      <c r="M327" s="4"/>
      <c r="N327" s="4" t="s">
        <v>73</v>
      </c>
      <c r="O327" s="8"/>
      <c r="P327" s="84">
        <f t="shared" ca="1" si="36"/>
        <v>63500</v>
      </c>
      <c r="Q327" s="7">
        <v>0</v>
      </c>
      <c r="R327" s="59"/>
    </row>
    <row r="328" spans="1:18">
      <c r="A328" s="58" t="str">
        <f t="shared" si="37"/>
        <v>华东区江西省新余所</v>
      </c>
      <c r="B328" s="58" t="str">
        <f t="shared" si="32"/>
        <v>标箱组新余所</v>
      </c>
      <c r="C328" s="4">
        <v>288</v>
      </c>
      <c r="D328" s="4" t="s">
        <v>9</v>
      </c>
      <c r="E328" s="4" t="str">
        <f t="shared" si="33"/>
        <v>华东区</v>
      </c>
      <c r="F328" s="4" t="s">
        <v>34</v>
      </c>
      <c r="G328" s="4" t="s">
        <v>442</v>
      </c>
      <c r="H328" s="4" t="s">
        <v>447</v>
      </c>
      <c r="I328" s="83">
        <v>119.85</v>
      </c>
      <c r="J328" s="76">
        <f t="shared" ca="1" si="35"/>
        <v>2.6471445736297131E-2</v>
      </c>
      <c r="K328" s="4" t="str">
        <f t="shared" si="34"/>
        <v>是</v>
      </c>
      <c r="L328" s="4" t="s">
        <v>12</v>
      </c>
      <c r="M328" s="4"/>
      <c r="N328" s="4" t="s">
        <v>73</v>
      </c>
      <c r="O328" s="8"/>
      <c r="P328" s="84">
        <f t="shared" ca="1" si="36"/>
        <v>15314</v>
      </c>
      <c r="Q328" s="7">
        <v>0</v>
      </c>
      <c r="R328" s="59"/>
    </row>
    <row r="329" spans="1:18">
      <c r="A329" s="58" t="str">
        <f t="shared" si="37"/>
        <v>华东区江西省瑞金所</v>
      </c>
      <c r="B329" s="58" t="str">
        <f t="shared" si="32"/>
        <v>标箱组瑞金所</v>
      </c>
      <c r="C329" s="4">
        <v>289</v>
      </c>
      <c r="D329" s="4" t="s">
        <v>9</v>
      </c>
      <c r="E329" s="4" t="str">
        <f t="shared" si="33"/>
        <v>华东区</v>
      </c>
      <c r="F329" s="4" t="s">
        <v>34</v>
      </c>
      <c r="G329" s="4" t="s">
        <v>442</v>
      </c>
      <c r="H329" s="4" t="s">
        <v>446</v>
      </c>
      <c r="I329" s="83">
        <v>468.91</v>
      </c>
      <c r="J329" s="76">
        <f t="shared" ca="1" si="35"/>
        <v>0.1035688412199173</v>
      </c>
      <c r="K329" s="4" t="str">
        <f t="shared" si="34"/>
        <v>是</v>
      </c>
      <c r="L329" s="4" t="s">
        <v>12</v>
      </c>
      <c r="M329" s="4"/>
      <c r="N329" s="4" t="s">
        <v>73</v>
      </c>
      <c r="O329" s="8"/>
      <c r="P329" s="84">
        <f t="shared" ca="1" si="36"/>
        <v>59916</v>
      </c>
      <c r="Q329" s="7">
        <v>0</v>
      </c>
      <c r="R329" s="59"/>
    </row>
    <row r="330" spans="1:18">
      <c r="A330" s="58" t="str">
        <f t="shared" si="37"/>
        <v>华东区江西省萍乡所</v>
      </c>
      <c r="B330" s="58" t="str">
        <f t="shared" ref="B330:B393" si="38">IF(N330="省区总监",D330&amp;F330,D330&amp;H330)</f>
        <v>标箱组萍乡所</v>
      </c>
      <c r="C330" s="4">
        <v>290</v>
      </c>
      <c r="D330" s="4" t="s">
        <v>9</v>
      </c>
      <c r="E330" s="4" t="str">
        <f t="shared" si="33"/>
        <v>华东区</v>
      </c>
      <c r="F330" s="4" t="s">
        <v>34</v>
      </c>
      <c r="G330" s="4" t="s">
        <v>442</v>
      </c>
      <c r="H330" s="4" t="s">
        <v>445</v>
      </c>
      <c r="I330" s="83">
        <v>180.88</v>
      </c>
      <c r="J330" s="76">
        <f t="shared" ca="1" si="35"/>
        <v>3.995123157931936E-2</v>
      </c>
      <c r="K330" s="4" t="str">
        <f t="shared" si="34"/>
        <v>是</v>
      </c>
      <c r="L330" s="4" t="s">
        <v>12</v>
      </c>
      <c r="M330" s="4"/>
      <c r="N330" s="4" t="s">
        <v>73</v>
      </c>
      <c r="O330" s="8"/>
      <c r="P330" s="84">
        <f t="shared" ca="1" si="36"/>
        <v>23112</v>
      </c>
      <c r="Q330" s="7">
        <v>0</v>
      </c>
      <c r="R330" s="59"/>
    </row>
    <row r="331" spans="1:18">
      <c r="A331" s="58" t="str">
        <f t="shared" si="37"/>
        <v>华东区江西省赣州所</v>
      </c>
      <c r="B331" s="58" t="str">
        <f t="shared" si="38"/>
        <v>标箱组赣州所</v>
      </c>
      <c r="C331" s="4">
        <v>291</v>
      </c>
      <c r="D331" s="4" t="s">
        <v>9</v>
      </c>
      <c r="E331" s="4" t="str">
        <f t="shared" si="33"/>
        <v>华东区</v>
      </c>
      <c r="F331" s="4" t="s">
        <v>34</v>
      </c>
      <c r="G331" s="4" t="s">
        <v>442</v>
      </c>
      <c r="H331" s="4" t="s">
        <v>443</v>
      </c>
      <c r="I331" s="83">
        <v>429.89</v>
      </c>
      <c r="J331" s="76">
        <f t="shared" ca="1" si="35"/>
        <v>9.4950436442025637E-2</v>
      </c>
      <c r="K331" s="4" t="str">
        <f t="shared" si="34"/>
        <v>是</v>
      </c>
      <c r="L331" s="4" t="s">
        <v>12</v>
      </c>
      <c r="M331" s="4"/>
      <c r="N331" s="4" t="s">
        <v>73</v>
      </c>
      <c r="O331" s="8"/>
      <c r="P331" s="84">
        <f t="shared" ca="1" si="36"/>
        <v>54930</v>
      </c>
      <c r="Q331" s="7">
        <v>0</v>
      </c>
      <c r="R331" s="59"/>
    </row>
    <row r="332" spans="1:18">
      <c r="A332" s="58" t="str">
        <f t="shared" si="37"/>
        <v>华东区浙江省临海所</v>
      </c>
      <c r="B332" s="58" t="str">
        <f t="shared" si="38"/>
        <v>标箱组临海所</v>
      </c>
      <c r="C332" s="4">
        <v>292</v>
      </c>
      <c r="D332" s="4" t="s">
        <v>9</v>
      </c>
      <c r="E332" s="4" t="str">
        <f t="shared" si="33"/>
        <v>华东区</v>
      </c>
      <c r="F332" s="4" t="s">
        <v>33</v>
      </c>
      <c r="G332" s="4" t="s">
        <v>463</v>
      </c>
      <c r="H332" s="4" t="s">
        <v>466</v>
      </c>
      <c r="I332" s="83">
        <v>300.10000000000002</v>
      </c>
      <c r="J332" s="76">
        <f t="shared" ca="1" si="35"/>
        <v>4.5307003638449812E-2</v>
      </c>
      <c r="K332" s="4" t="str">
        <f t="shared" si="34"/>
        <v>是</v>
      </c>
      <c r="L332" s="4" t="s">
        <v>12</v>
      </c>
      <c r="M332" s="4"/>
      <c r="N332" s="4" t="s">
        <v>73</v>
      </c>
      <c r="O332" s="8"/>
      <c r="P332" s="84">
        <f t="shared" ca="1" si="36"/>
        <v>38346</v>
      </c>
      <c r="Q332" s="7">
        <v>0</v>
      </c>
      <c r="R332" s="59"/>
    </row>
    <row r="333" spans="1:18">
      <c r="A333" s="58" t="str">
        <f t="shared" si="37"/>
        <v>华东区浙江省台州所</v>
      </c>
      <c r="B333" s="58" t="str">
        <f t="shared" si="38"/>
        <v>标箱组台州所</v>
      </c>
      <c r="C333" s="4">
        <v>293</v>
      </c>
      <c r="D333" s="4" t="s">
        <v>9</v>
      </c>
      <c r="E333" s="4" t="str">
        <f t="shared" si="33"/>
        <v>华东区</v>
      </c>
      <c r="F333" s="4" t="s">
        <v>33</v>
      </c>
      <c r="G333" s="4" t="s">
        <v>463</v>
      </c>
      <c r="H333" s="4" t="s">
        <v>468</v>
      </c>
      <c r="I333" s="83">
        <v>371.09</v>
      </c>
      <c r="J333" s="76">
        <f t="shared" ca="1" si="35"/>
        <v>5.6024578407838518E-2</v>
      </c>
      <c r="K333" s="4" t="str">
        <f t="shared" si="34"/>
        <v>是</v>
      </c>
      <c r="L333" s="4" t="s">
        <v>12</v>
      </c>
      <c r="M333" s="4"/>
      <c r="N333" s="4" t="s">
        <v>73</v>
      </c>
      <c r="O333" s="8"/>
      <c r="P333" s="84">
        <f t="shared" ca="1" si="36"/>
        <v>47417</v>
      </c>
      <c r="Q333" s="7">
        <v>0</v>
      </c>
      <c r="R333" s="59"/>
    </row>
    <row r="334" spans="1:18">
      <c r="A334" s="58" t="str">
        <f t="shared" si="37"/>
        <v>华东区浙江省奉化所</v>
      </c>
      <c r="B334" s="58" t="str">
        <f t="shared" si="38"/>
        <v>标箱组奉化所</v>
      </c>
      <c r="C334" s="4">
        <v>294</v>
      </c>
      <c r="D334" s="4" t="s">
        <v>9</v>
      </c>
      <c r="E334" s="4" t="str">
        <f t="shared" si="33"/>
        <v>华东区</v>
      </c>
      <c r="F334" s="4" t="s">
        <v>33</v>
      </c>
      <c r="G334" s="4" t="s">
        <v>463</v>
      </c>
      <c r="H334" s="4" t="s">
        <v>465</v>
      </c>
      <c r="I334" s="83">
        <v>260.37</v>
      </c>
      <c r="J334" s="76">
        <f t="shared" ca="1" si="35"/>
        <v>3.9308845509307487E-2</v>
      </c>
      <c r="K334" s="4" t="str">
        <f t="shared" si="34"/>
        <v>是</v>
      </c>
      <c r="L334" s="4" t="s">
        <v>12</v>
      </c>
      <c r="M334" s="4"/>
      <c r="N334" s="4" t="s">
        <v>73</v>
      </c>
      <c r="O334" s="8"/>
      <c r="P334" s="84">
        <f t="shared" ca="1" si="36"/>
        <v>33269</v>
      </c>
      <c r="Q334" s="7">
        <v>0</v>
      </c>
      <c r="R334" s="59"/>
    </row>
    <row r="335" spans="1:18">
      <c r="A335" s="58" t="str">
        <f t="shared" si="37"/>
        <v>华东区浙江省宁波所</v>
      </c>
      <c r="B335" s="58" t="str">
        <f t="shared" si="38"/>
        <v>标箱组宁波所</v>
      </c>
      <c r="C335" s="4">
        <v>295</v>
      </c>
      <c r="D335" s="4" t="s">
        <v>9</v>
      </c>
      <c r="E335" s="4" t="str">
        <f t="shared" si="33"/>
        <v>华东区</v>
      </c>
      <c r="F335" s="4" t="s">
        <v>33</v>
      </c>
      <c r="G335" s="4" t="s">
        <v>463</v>
      </c>
      <c r="H335" s="4" t="s">
        <v>467</v>
      </c>
      <c r="I335" s="83">
        <v>417.26</v>
      </c>
      <c r="J335" s="76">
        <f t="shared" ca="1" si="35"/>
        <v>6.2995002793000895E-2</v>
      </c>
      <c r="K335" s="4" t="str">
        <f t="shared" si="34"/>
        <v>是</v>
      </c>
      <c r="L335" s="4" t="s">
        <v>12</v>
      </c>
      <c r="M335" s="4"/>
      <c r="N335" s="4" t="s">
        <v>73</v>
      </c>
      <c r="O335" s="8"/>
      <c r="P335" s="84">
        <f t="shared" ca="1" si="36"/>
        <v>53317</v>
      </c>
      <c r="Q335" s="7">
        <v>0</v>
      </c>
      <c r="R335" s="59"/>
    </row>
    <row r="336" spans="1:18">
      <c r="A336" s="58" t="str">
        <f t="shared" si="37"/>
        <v>华东区浙江省慈溪所</v>
      </c>
      <c r="B336" s="58" t="str">
        <f t="shared" si="38"/>
        <v>标箱组慈溪所</v>
      </c>
      <c r="C336" s="4">
        <v>296</v>
      </c>
      <c r="D336" s="4" t="s">
        <v>9</v>
      </c>
      <c r="E336" s="4" t="str">
        <f t="shared" si="33"/>
        <v>华东区</v>
      </c>
      <c r="F336" s="4" t="s">
        <v>33</v>
      </c>
      <c r="G336" s="4" t="s">
        <v>463</v>
      </c>
      <c r="H336" s="4" t="s">
        <v>464</v>
      </c>
      <c r="I336" s="83">
        <v>292.06</v>
      </c>
      <c r="J336" s="76">
        <f t="shared" ca="1" si="35"/>
        <v>4.4093180548635959E-2</v>
      </c>
      <c r="K336" s="4" t="str">
        <f t="shared" si="34"/>
        <v>是</v>
      </c>
      <c r="L336" s="4" t="s">
        <v>12</v>
      </c>
      <c r="M336" s="4"/>
      <c r="N336" s="4" t="s">
        <v>73</v>
      </c>
      <c r="O336" s="8"/>
      <c r="P336" s="84">
        <f t="shared" ca="1" si="36"/>
        <v>37319</v>
      </c>
      <c r="Q336" s="7">
        <v>0</v>
      </c>
      <c r="R336" s="59"/>
    </row>
    <row r="337" spans="1:18">
      <c r="A337" s="58" t="str">
        <f t="shared" si="37"/>
        <v>华东区浙江省舟山所</v>
      </c>
      <c r="B337" s="58" t="str">
        <f t="shared" si="38"/>
        <v>标箱组舟山所</v>
      </c>
      <c r="C337" s="4">
        <v>297</v>
      </c>
      <c r="D337" s="4" t="s">
        <v>9</v>
      </c>
      <c r="E337" s="4" t="str">
        <f t="shared" si="33"/>
        <v>华东区</v>
      </c>
      <c r="F337" s="4" t="s">
        <v>33</v>
      </c>
      <c r="G337" s="4" t="s">
        <v>463</v>
      </c>
      <c r="H337" s="4" t="s">
        <v>469</v>
      </c>
      <c r="I337" s="83">
        <v>117.31</v>
      </c>
      <c r="J337" s="76">
        <f t="shared" ca="1" si="35"/>
        <v>1.7710645107719251E-2</v>
      </c>
      <c r="K337" s="4" t="str">
        <f t="shared" si="34"/>
        <v>是</v>
      </c>
      <c r="L337" s="4" t="s">
        <v>12</v>
      </c>
      <c r="M337" s="4"/>
      <c r="N337" s="4" t="s">
        <v>73</v>
      </c>
      <c r="O337" s="8"/>
      <c r="P337" s="84">
        <f t="shared" ca="1" si="36"/>
        <v>14990</v>
      </c>
      <c r="Q337" s="7">
        <v>0</v>
      </c>
      <c r="R337" s="59"/>
    </row>
    <row r="338" spans="1:18">
      <c r="A338" s="58" t="str">
        <f t="shared" si="37"/>
        <v>华东区浙江省上虞所</v>
      </c>
      <c r="B338" s="58" t="str">
        <f t="shared" si="38"/>
        <v>标箱组上虞所</v>
      </c>
      <c r="C338" s="4">
        <v>298</v>
      </c>
      <c r="D338" s="4" t="s">
        <v>9</v>
      </c>
      <c r="E338" s="4" t="str">
        <f t="shared" si="33"/>
        <v>华东区</v>
      </c>
      <c r="F338" s="4" t="s">
        <v>33</v>
      </c>
      <c r="G338" s="4" t="s">
        <v>455</v>
      </c>
      <c r="H338" s="4" t="s">
        <v>459</v>
      </c>
      <c r="I338" s="83">
        <v>233.16</v>
      </c>
      <c r="J338" s="76">
        <f t="shared" ca="1" si="35"/>
        <v>3.5200869604601656E-2</v>
      </c>
      <c r="K338" s="4" t="str">
        <f t="shared" si="34"/>
        <v>是</v>
      </c>
      <c r="L338" s="4" t="s">
        <v>12</v>
      </c>
      <c r="M338" s="4"/>
      <c r="N338" s="4" t="s">
        <v>73</v>
      </c>
      <c r="O338" s="8"/>
      <c r="P338" s="84">
        <f t="shared" ca="1" si="36"/>
        <v>29793</v>
      </c>
      <c r="Q338" s="7">
        <v>0</v>
      </c>
      <c r="R338" s="59"/>
    </row>
    <row r="339" spans="1:18">
      <c r="A339" s="58" t="str">
        <f t="shared" si="37"/>
        <v>华东区浙江省余杭所</v>
      </c>
      <c r="B339" s="58" t="str">
        <f t="shared" si="38"/>
        <v>标箱组余杭所</v>
      </c>
      <c r="C339" s="4">
        <v>299</v>
      </c>
      <c r="D339" s="4" t="s">
        <v>9</v>
      </c>
      <c r="E339" s="4" t="str">
        <f t="shared" si="33"/>
        <v>华东区</v>
      </c>
      <c r="F339" s="4" t="s">
        <v>33</v>
      </c>
      <c r="G339" s="4" t="s">
        <v>455</v>
      </c>
      <c r="H339" s="4" t="s">
        <v>462</v>
      </c>
      <c r="I339" s="83">
        <v>331.91</v>
      </c>
      <c r="J339" s="76">
        <f t="shared" ca="1" si="35"/>
        <v>5.0109455440312818E-2</v>
      </c>
      <c r="K339" s="4" t="str">
        <f t="shared" si="34"/>
        <v>是</v>
      </c>
      <c r="L339" s="4" t="s">
        <v>12</v>
      </c>
      <c r="M339" s="4"/>
      <c r="N339" s="4" t="s">
        <v>73</v>
      </c>
      <c r="O339" s="8"/>
      <c r="P339" s="84">
        <f t="shared" ca="1" si="36"/>
        <v>42411</v>
      </c>
      <c r="Q339" s="7">
        <v>0</v>
      </c>
      <c r="R339" s="59"/>
    </row>
    <row r="340" spans="1:18">
      <c r="A340" s="58" t="str">
        <f t="shared" si="37"/>
        <v>华东区浙江省嘉兴所</v>
      </c>
      <c r="B340" s="58" t="str">
        <f t="shared" si="38"/>
        <v>标箱组嘉兴所</v>
      </c>
      <c r="C340" s="4">
        <v>300</v>
      </c>
      <c r="D340" s="4" t="s">
        <v>9</v>
      </c>
      <c r="E340" s="4" t="str">
        <f t="shared" si="33"/>
        <v>华东区</v>
      </c>
      <c r="F340" s="4" t="s">
        <v>33</v>
      </c>
      <c r="G340" s="4" t="s">
        <v>455</v>
      </c>
      <c r="H340" s="4" t="s">
        <v>458</v>
      </c>
      <c r="I340" s="83">
        <v>555.1</v>
      </c>
      <c r="J340" s="76">
        <f t="shared" ca="1" si="35"/>
        <v>8.3805124024336861E-2</v>
      </c>
      <c r="K340" s="4" t="str">
        <f t="shared" si="34"/>
        <v>是</v>
      </c>
      <c r="L340" s="4" t="s">
        <v>12</v>
      </c>
      <c r="M340" s="4"/>
      <c r="N340" s="4" t="s">
        <v>73</v>
      </c>
      <c r="O340" s="8"/>
      <c r="P340" s="84">
        <f t="shared" ca="1" si="36"/>
        <v>70929</v>
      </c>
      <c r="Q340" s="7">
        <v>0</v>
      </c>
      <c r="R340" s="59"/>
    </row>
    <row r="341" spans="1:18">
      <c r="A341" s="58" t="str">
        <f t="shared" si="37"/>
        <v>华东区浙江省杭州所</v>
      </c>
      <c r="B341" s="58" t="str">
        <f t="shared" si="38"/>
        <v>标箱组杭州所</v>
      </c>
      <c r="C341" s="4">
        <v>301</v>
      </c>
      <c r="D341" s="4" t="s">
        <v>9</v>
      </c>
      <c r="E341" s="4" t="str">
        <f t="shared" si="33"/>
        <v>华东区</v>
      </c>
      <c r="F341" s="4" t="s">
        <v>33</v>
      </c>
      <c r="G341" s="4" t="s">
        <v>455</v>
      </c>
      <c r="H341" s="4" t="s">
        <v>456</v>
      </c>
      <c r="I341" s="83">
        <v>530.66</v>
      </c>
      <c r="J341" s="76">
        <f t="shared" ca="1" si="35"/>
        <v>8.0115343388136542E-2</v>
      </c>
      <c r="K341" s="4" t="str">
        <f t="shared" si="34"/>
        <v>是</v>
      </c>
      <c r="L341" s="4" t="s">
        <v>12</v>
      </c>
      <c r="M341" s="4"/>
      <c r="N341" s="4" t="s">
        <v>73</v>
      </c>
      <c r="O341" s="8"/>
      <c r="P341" s="84">
        <f t="shared" ca="1" si="36"/>
        <v>67807</v>
      </c>
      <c r="Q341" s="7">
        <v>0</v>
      </c>
      <c r="R341" s="59"/>
    </row>
    <row r="342" spans="1:18">
      <c r="A342" s="58" t="str">
        <f t="shared" si="37"/>
        <v>华东区浙江省湖州所</v>
      </c>
      <c r="B342" s="58" t="str">
        <f t="shared" si="38"/>
        <v>标箱组湖州所</v>
      </c>
      <c r="C342" s="4">
        <v>302</v>
      </c>
      <c r="D342" s="4" t="s">
        <v>9</v>
      </c>
      <c r="E342" s="4" t="str">
        <f t="shared" si="33"/>
        <v>华东区</v>
      </c>
      <c r="F342" s="4" t="s">
        <v>33</v>
      </c>
      <c r="G342" s="4" t="s">
        <v>455</v>
      </c>
      <c r="H342" s="4" t="s">
        <v>457</v>
      </c>
      <c r="I342" s="83">
        <v>343.9</v>
      </c>
      <c r="J342" s="76">
        <f t="shared" ca="1" si="35"/>
        <v>5.191962196355511E-2</v>
      </c>
      <c r="K342" s="4" t="str">
        <f t="shared" si="34"/>
        <v>是</v>
      </c>
      <c r="L342" s="4" t="s">
        <v>12</v>
      </c>
      <c r="M342" s="4"/>
      <c r="N342" s="4" t="s">
        <v>73</v>
      </c>
      <c r="O342" s="8"/>
      <c r="P342" s="84">
        <f t="shared" ca="1" si="36"/>
        <v>43943</v>
      </c>
      <c r="Q342" s="7">
        <v>0</v>
      </c>
      <c r="R342" s="59"/>
    </row>
    <row r="343" spans="1:18">
      <c r="A343" s="58" t="str">
        <f t="shared" si="37"/>
        <v>华东区浙江省绍兴所</v>
      </c>
      <c r="B343" s="58" t="str">
        <f t="shared" si="38"/>
        <v>标箱组绍兴所</v>
      </c>
      <c r="C343" s="4">
        <v>303</v>
      </c>
      <c r="D343" s="4" t="s">
        <v>9</v>
      </c>
      <c r="E343" s="4" t="str">
        <f t="shared" si="33"/>
        <v>华东区</v>
      </c>
      <c r="F343" s="4" t="s">
        <v>33</v>
      </c>
      <c r="G343" s="4" t="s">
        <v>455</v>
      </c>
      <c r="H343" s="4" t="s">
        <v>460</v>
      </c>
      <c r="I343" s="83">
        <v>306.23</v>
      </c>
      <c r="J343" s="76">
        <f t="shared" ca="1" si="35"/>
        <v>4.6232468257922314E-2</v>
      </c>
      <c r="K343" s="4" t="str">
        <f t="shared" si="34"/>
        <v>是</v>
      </c>
      <c r="L343" s="4" t="s">
        <v>12</v>
      </c>
      <c r="M343" s="4"/>
      <c r="N343" s="4" t="s">
        <v>73</v>
      </c>
      <c r="O343" s="8"/>
      <c r="P343" s="84">
        <f t="shared" ca="1" si="36"/>
        <v>39129</v>
      </c>
      <c r="Q343" s="7">
        <v>0</v>
      </c>
      <c r="R343" s="59"/>
    </row>
    <row r="344" spans="1:18">
      <c r="A344" s="58" t="str">
        <f t="shared" si="37"/>
        <v>华东区浙江省萧山所</v>
      </c>
      <c r="B344" s="58" t="str">
        <f t="shared" si="38"/>
        <v>标箱组萧山所</v>
      </c>
      <c r="C344" s="4">
        <v>304</v>
      </c>
      <c r="D344" s="4" t="s">
        <v>9</v>
      </c>
      <c r="E344" s="4" t="str">
        <f t="shared" si="33"/>
        <v>华东区</v>
      </c>
      <c r="F344" s="4" t="s">
        <v>33</v>
      </c>
      <c r="G344" s="4" t="s">
        <v>455</v>
      </c>
      <c r="H344" s="4" t="s">
        <v>461</v>
      </c>
      <c r="I344" s="83">
        <v>389.63</v>
      </c>
      <c r="J344" s="76">
        <f t="shared" ca="1" si="35"/>
        <v>5.8823618219424188E-2</v>
      </c>
      <c r="K344" s="4" t="str">
        <f t="shared" si="34"/>
        <v>是</v>
      </c>
      <c r="L344" s="4" t="s">
        <v>12</v>
      </c>
      <c r="M344" s="4"/>
      <c r="N344" s="4" t="s">
        <v>73</v>
      </c>
      <c r="O344" s="8"/>
      <c r="P344" s="84">
        <f t="shared" ca="1" si="36"/>
        <v>49786</v>
      </c>
      <c r="Q344" s="7">
        <v>0</v>
      </c>
      <c r="R344" s="59"/>
    </row>
    <row r="345" spans="1:18">
      <c r="A345" s="58" t="str">
        <f t="shared" si="37"/>
        <v>华东区浙江省丽水所</v>
      </c>
      <c r="B345" s="58" t="str">
        <f t="shared" si="38"/>
        <v>标箱组丽水所</v>
      </c>
      <c r="C345" s="4">
        <v>305</v>
      </c>
      <c r="D345" s="4" t="s">
        <v>9</v>
      </c>
      <c r="E345" s="4" t="str">
        <f t="shared" si="33"/>
        <v>华东区</v>
      </c>
      <c r="F345" s="4" t="s">
        <v>33</v>
      </c>
      <c r="G345" s="4" t="s">
        <v>470</v>
      </c>
      <c r="H345" s="4" t="s">
        <v>472</v>
      </c>
      <c r="I345" s="83">
        <v>252.81</v>
      </c>
      <c r="J345" s="76">
        <f t="shared" ca="1" si="35"/>
        <v>3.8167489469631777E-2</v>
      </c>
      <c r="K345" s="4" t="str">
        <f t="shared" si="34"/>
        <v>是</v>
      </c>
      <c r="L345" s="4" t="s">
        <v>12</v>
      </c>
      <c r="M345" s="4"/>
      <c r="N345" s="4" t="s">
        <v>73</v>
      </c>
      <c r="O345" s="8"/>
      <c r="P345" s="84">
        <f t="shared" ca="1" si="36"/>
        <v>32303</v>
      </c>
      <c r="Q345" s="7">
        <v>0</v>
      </c>
      <c r="R345" s="59"/>
    </row>
    <row r="346" spans="1:18">
      <c r="A346" s="58" t="str">
        <f t="shared" si="37"/>
        <v>华东区浙江省温州所</v>
      </c>
      <c r="B346" s="58" t="str">
        <f t="shared" si="38"/>
        <v>标箱组温州所</v>
      </c>
      <c r="C346" s="4">
        <v>306</v>
      </c>
      <c r="D346" s="4" t="s">
        <v>9</v>
      </c>
      <c r="E346" s="4" t="str">
        <f t="shared" si="33"/>
        <v>华东区</v>
      </c>
      <c r="F346" s="4" t="s">
        <v>33</v>
      </c>
      <c r="G346" s="4" t="s">
        <v>470</v>
      </c>
      <c r="H346" s="4" t="s">
        <v>474</v>
      </c>
      <c r="I346" s="83">
        <v>976.11</v>
      </c>
      <c r="J346" s="76">
        <f t="shared" ca="1" si="35"/>
        <v>0.14736627564654198</v>
      </c>
      <c r="K346" s="4" t="str">
        <f t="shared" si="34"/>
        <v>是</v>
      </c>
      <c r="L346" s="4" t="s">
        <v>12</v>
      </c>
      <c r="M346" s="4"/>
      <c r="N346" s="4" t="s">
        <v>73</v>
      </c>
      <c r="O346" s="8"/>
      <c r="P346" s="84">
        <f t="shared" ca="1" si="36"/>
        <v>124725</v>
      </c>
      <c r="Q346" s="7">
        <v>0</v>
      </c>
      <c r="R346" s="59"/>
    </row>
    <row r="347" spans="1:18">
      <c r="A347" s="58" t="str">
        <f t="shared" si="37"/>
        <v>华东区浙江省苍南所</v>
      </c>
      <c r="B347" s="58" t="str">
        <f t="shared" si="38"/>
        <v>标箱组苍南所</v>
      </c>
      <c r="C347" s="4">
        <v>307</v>
      </c>
      <c r="D347" s="4" t="s">
        <v>9</v>
      </c>
      <c r="E347" s="4" t="str">
        <f t="shared" si="33"/>
        <v>华东区</v>
      </c>
      <c r="F347" s="4" t="s">
        <v>33</v>
      </c>
      <c r="G347" s="4" t="s">
        <v>470</v>
      </c>
      <c r="H347" s="4" t="s">
        <v>623</v>
      </c>
      <c r="I347" s="83">
        <v>0</v>
      </c>
      <c r="J347" s="76">
        <f t="shared" ca="1" si="35"/>
        <v>0</v>
      </c>
      <c r="K347" s="4" t="str">
        <f t="shared" si="34"/>
        <v>是</v>
      </c>
      <c r="L347" s="4" t="s">
        <v>12</v>
      </c>
      <c r="M347" s="4"/>
      <c r="N347" s="4" t="s">
        <v>73</v>
      </c>
      <c r="O347" s="8"/>
      <c r="P347" s="84">
        <f t="shared" ca="1" si="36"/>
        <v>0</v>
      </c>
      <c r="Q347" s="7">
        <v>0</v>
      </c>
      <c r="R347" s="59"/>
    </row>
    <row r="348" spans="1:18">
      <c r="A348" s="58" t="str">
        <f t="shared" si="37"/>
        <v>华东区浙江省衢州所</v>
      </c>
      <c r="B348" s="58" t="str">
        <f t="shared" si="38"/>
        <v>标箱组衢州所</v>
      </c>
      <c r="C348" s="4">
        <v>308</v>
      </c>
      <c r="D348" s="4" t="s">
        <v>9</v>
      </c>
      <c r="E348" s="4" t="str">
        <f t="shared" si="33"/>
        <v>华东区</v>
      </c>
      <c r="F348" s="4" t="s">
        <v>33</v>
      </c>
      <c r="G348" s="4" t="s">
        <v>470</v>
      </c>
      <c r="H348" s="4" t="s">
        <v>473</v>
      </c>
      <c r="I348" s="83">
        <v>229.71</v>
      </c>
      <c r="J348" s="76">
        <f t="shared" ca="1" si="35"/>
        <v>3.4680012681733777E-2</v>
      </c>
      <c r="K348" s="4" t="str">
        <f t="shared" si="34"/>
        <v>是</v>
      </c>
      <c r="L348" s="4" t="s">
        <v>12</v>
      </c>
      <c r="M348" s="4"/>
      <c r="N348" s="4" t="s">
        <v>73</v>
      </c>
      <c r="O348" s="8"/>
      <c r="P348" s="84">
        <f t="shared" ca="1" si="36"/>
        <v>29352</v>
      </c>
      <c r="Q348" s="7">
        <v>0</v>
      </c>
      <c r="R348" s="59"/>
    </row>
    <row r="349" spans="1:18">
      <c r="A349" s="58" t="str">
        <f t="shared" si="37"/>
        <v>华东区浙江省金华所</v>
      </c>
      <c r="B349" s="58" t="str">
        <f t="shared" si="38"/>
        <v>标箱组金华所</v>
      </c>
      <c r="C349" s="4">
        <v>309</v>
      </c>
      <c r="D349" s="4" t="s">
        <v>9</v>
      </c>
      <c r="E349" s="4" t="str">
        <f t="shared" si="33"/>
        <v>华东区</v>
      </c>
      <c r="F349" s="4" t="s">
        <v>33</v>
      </c>
      <c r="G349" s="4" t="s">
        <v>470</v>
      </c>
      <c r="H349" s="4" t="s">
        <v>471</v>
      </c>
      <c r="I349" s="83">
        <v>716.29</v>
      </c>
      <c r="J349" s="76">
        <f t="shared" ca="1" si="35"/>
        <v>0.10814046529885109</v>
      </c>
      <c r="K349" s="4" t="str">
        <f t="shared" si="34"/>
        <v>是</v>
      </c>
      <c r="L349" s="4" t="s">
        <v>12</v>
      </c>
      <c r="M349" s="4"/>
      <c r="N349" s="4" t="s">
        <v>73</v>
      </c>
      <c r="O349" s="8"/>
      <c r="P349" s="84">
        <f t="shared" ca="1" si="36"/>
        <v>91526</v>
      </c>
      <c r="Q349" s="7">
        <v>0</v>
      </c>
      <c r="R349" s="59"/>
    </row>
    <row r="350" spans="1:18">
      <c r="A350" s="58" t="str">
        <f t="shared" si="37"/>
        <v>华南区福建省厦门所</v>
      </c>
      <c r="B350" s="58" t="str">
        <f t="shared" si="38"/>
        <v>标箱组厦门所</v>
      </c>
      <c r="C350" s="4">
        <v>310</v>
      </c>
      <c r="D350" s="4" t="s">
        <v>9</v>
      </c>
      <c r="E350" s="4" t="str">
        <f t="shared" si="33"/>
        <v>华南区</v>
      </c>
      <c r="F350" s="4" t="s">
        <v>40</v>
      </c>
      <c r="G350" s="4" t="s">
        <v>425</v>
      </c>
      <c r="H350" s="4" t="s">
        <v>430</v>
      </c>
      <c r="I350" s="83">
        <v>528.01</v>
      </c>
      <c r="J350" s="76">
        <f t="shared" ca="1" si="35"/>
        <v>0.12628947966371276</v>
      </c>
      <c r="K350" s="4" t="str">
        <f t="shared" si="34"/>
        <v>是</v>
      </c>
      <c r="L350" s="4" t="s">
        <v>12</v>
      </c>
      <c r="M350" s="4"/>
      <c r="N350" s="4" t="s">
        <v>73</v>
      </c>
      <c r="O350" s="8"/>
      <c r="P350" s="84">
        <f t="shared" ca="1" si="36"/>
        <v>34800</v>
      </c>
      <c r="Q350" s="7">
        <v>0</v>
      </c>
      <c r="R350" s="59"/>
    </row>
    <row r="351" spans="1:18">
      <c r="A351" s="58" t="str">
        <f t="shared" si="37"/>
        <v>华南区福建省安溪所</v>
      </c>
      <c r="B351" s="58" t="str">
        <f t="shared" si="38"/>
        <v>标箱组安溪所</v>
      </c>
      <c r="C351" s="4">
        <v>311</v>
      </c>
      <c r="D351" s="4" t="s">
        <v>9</v>
      </c>
      <c r="E351" s="4" t="str">
        <f t="shared" si="33"/>
        <v>华南区</v>
      </c>
      <c r="F351" s="4" t="s">
        <v>40</v>
      </c>
      <c r="G351" s="4" t="s">
        <v>425</v>
      </c>
      <c r="H351" s="4" t="s">
        <v>426</v>
      </c>
      <c r="I351" s="83">
        <v>441.18</v>
      </c>
      <c r="J351" s="76">
        <f t="shared" ca="1" si="35"/>
        <v>0.10552147239263802</v>
      </c>
      <c r="K351" s="4" t="str">
        <f t="shared" si="34"/>
        <v>是</v>
      </c>
      <c r="L351" s="4" t="s">
        <v>12</v>
      </c>
      <c r="M351" s="4"/>
      <c r="N351" s="4" t="s">
        <v>73</v>
      </c>
      <c r="O351" s="8"/>
      <c r="P351" s="84">
        <f t="shared" ca="1" si="36"/>
        <v>29077</v>
      </c>
      <c r="Q351" s="7">
        <v>0</v>
      </c>
      <c r="R351" s="59"/>
    </row>
    <row r="352" spans="1:18">
      <c r="A352" s="58" t="str">
        <f t="shared" si="37"/>
        <v>华南区福建省泉州所</v>
      </c>
      <c r="B352" s="58" t="str">
        <f t="shared" si="38"/>
        <v>标箱组泉州所</v>
      </c>
      <c r="C352" s="4">
        <v>312</v>
      </c>
      <c r="D352" s="4" t="s">
        <v>9</v>
      </c>
      <c r="E352" s="4" t="str">
        <f t="shared" si="33"/>
        <v>华南区</v>
      </c>
      <c r="F352" s="4" t="s">
        <v>40</v>
      </c>
      <c r="G352" s="4" t="s">
        <v>425</v>
      </c>
      <c r="H352" s="4" t="s">
        <v>429</v>
      </c>
      <c r="I352" s="83">
        <v>446.73</v>
      </c>
      <c r="J352" s="76">
        <f t="shared" ca="1" si="35"/>
        <v>0.10684892189574138</v>
      </c>
      <c r="K352" s="4" t="str">
        <f t="shared" si="34"/>
        <v>是</v>
      </c>
      <c r="L352" s="4" t="s">
        <v>12</v>
      </c>
      <c r="M352" s="4"/>
      <c r="N352" s="4" t="s">
        <v>73</v>
      </c>
      <c r="O352" s="8"/>
      <c r="P352" s="84">
        <f t="shared" ca="1" si="36"/>
        <v>29443</v>
      </c>
      <c r="Q352" s="7">
        <v>0</v>
      </c>
      <c r="R352" s="59"/>
    </row>
    <row r="353" spans="1:18">
      <c r="A353" s="58" t="str">
        <f t="shared" si="37"/>
        <v>华南区福建省漳州所</v>
      </c>
      <c r="B353" s="58" t="str">
        <f t="shared" si="38"/>
        <v>标箱组漳州所</v>
      </c>
      <c r="C353" s="4">
        <v>313</v>
      </c>
      <c r="D353" s="4" t="s">
        <v>9</v>
      </c>
      <c r="E353" s="4" t="str">
        <f t="shared" si="33"/>
        <v>华南区</v>
      </c>
      <c r="F353" s="4" t="s">
        <v>40</v>
      </c>
      <c r="G353" s="4" t="s">
        <v>425</v>
      </c>
      <c r="H353" s="4" t="s">
        <v>431</v>
      </c>
      <c r="I353" s="83">
        <v>276.99</v>
      </c>
      <c r="J353" s="76">
        <f t="shared" ca="1" si="35"/>
        <v>6.6250493308936953E-2</v>
      </c>
      <c r="K353" s="4" t="str">
        <f t="shared" si="34"/>
        <v>是</v>
      </c>
      <c r="L353" s="4" t="s">
        <v>12</v>
      </c>
      <c r="M353" s="4"/>
      <c r="N353" s="4" t="s">
        <v>73</v>
      </c>
      <c r="O353" s="8"/>
      <c r="P353" s="84">
        <f t="shared" ca="1" si="36"/>
        <v>18256</v>
      </c>
      <c r="Q353" s="7">
        <v>0</v>
      </c>
      <c r="R353" s="59"/>
    </row>
    <row r="354" spans="1:18">
      <c r="A354" s="58" t="str">
        <f t="shared" si="37"/>
        <v>华南区福建省莆田所</v>
      </c>
      <c r="B354" s="58" t="str">
        <f t="shared" si="38"/>
        <v>标箱组莆田所</v>
      </c>
      <c r="C354" s="4">
        <v>314</v>
      </c>
      <c r="D354" s="4" t="s">
        <v>9</v>
      </c>
      <c r="E354" s="4" t="str">
        <f t="shared" si="33"/>
        <v>华南区</v>
      </c>
      <c r="F354" s="4" t="s">
        <v>40</v>
      </c>
      <c r="G354" s="4" t="s">
        <v>425</v>
      </c>
      <c r="H354" s="4" t="s">
        <v>428</v>
      </c>
      <c r="I354" s="83">
        <v>317.91000000000003</v>
      </c>
      <c r="J354" s="76">
        <f t="shared" ca="1" si="35"/>
        <v>7.6037742618304441E-2</v>
      </c>
      <c r="K354" s="4" t="str">
        <f t="shared" si="34"/>
        <v>是</v>
      </c>
      <c r="L354" s="4" t="s">
        <v>12</v>
      </c>
      <c r="M354" s="4"/>
      <c r="N354" s="4" t="s">
        <v>73</v>
      </c>
      <c r="O354" s="8"/>
      <c r="P354" s="84">
        <f t="shared" ca="1" si="36"/>
        <v>20953</v>
      </c>
      <c r="Q354" s="7">
        <v>0</v>
      </c>
      <c r="R354" s="59"/>
    </row>
    <row r="355" spans="1:18">
      <c r="A355" s="58" t="str">
        <f t="shared" si="37"/>
        <v>华南区福建省诏安所</v>
      </c>
      <c r="B355" s="58" t="str">
        <f t="shared" si="38"/>
        <v>标箱组诏安所</v>
      </c>
      <c r="C355" s="4">
        <v>315</v>
      </c>
      <c r="D355" s="4" t="s">
        <v>9</v>
      </c>
      <c r="E355" s="4" t="str">
        <f t="shared" si="33"/>
        <v>华南区</v>
      </c>
      <c r="F355" s="4" t="s">
        <v>40</v>
      </c>
      <c r="G355" s="4" t="s">
        <v>425</v>
      </c>
      <c r="H355" s="4" t="s">
        <v>432</v>
      </c>
      <c r="I355" s="83">
        <v>229.82</v>
      </c>
      <c r="J355" s="76">
        <f t="shared" ca="1" si="35"/>
        <v>5.4968368433011623E-2</v>
      </c>
      <c r="K355" s="4" t="str">
        <f t="shared" si="34"/>
        <v>是</v>
      </c>
      <c r="L355" s="4" t="s">
        <v>12</v>
      </c>
      <c r="M355" s="4"/>
      <c r="N355" s="4" t="s">
        <v>73</v>
      </c>
      <c r="O355" s="8"/>
      <c r="P355" s="84">
        <f t="shared" ca="1" si="36"/>
        <v>15147</v>
      </c>
      <c r="Q355" s="7">
        <v>0</v>
      </c>
      <c r="R355" s="59"/>
    </row>
    <row r="356" spans="1:18">
      <c r="A356" s="58" t="str">
        <f t="shared" si="37"/>
        <v>华南区福建省龙岩所</v>
      </c>
      <c r="B356" s="58" t="str">
        <f t="shared" si="38"/>
        <v>标箱组龙岩所</v>
      </c>
      <c r="C356" s="4">
        <v>316</v>
      </c>
      <c r="D356" s="4" t="s">
        <v>9</v>
      </c>
      <c r="E356" s="4" t="str">
        <f t="shared" si="33"/>
        <v>华南区</v>
      </c>
      <c r="F356" s="4" t="s">
        <v>40</v>
      </c>
      <c r="G356" s="4" t="s">
        <v>425</v>
      </c>
      <c r="H356" s="4" t="s">
        <v>427</v>
      </c>
      <c r="I356" s="83">
        <v>269.31</v>
      </c>
      <c r="J356" s="76">
        <f t="shared" ca="1" si="35"/>
        <v>6.4413590212750685E-2</v>
      </c>
      <c r="K356" s="4" t="str">
        <f t="shared" si="34"/>
        <v>是</v>
      </c>
      <c r="L356" s="4" t="s">
        <v>12</v>
      </c>
      <c r="M356" s="4"/>
      <c r="N356" s="4" t="s">
        <v>73</v>
      </c>
      <c r="O356" s="8"/>
      <c r="P356" s="84">
        <f t="shared" ca="1" si="36"/>
        <v>17750</v>
      </c>
      <c r="Q356" s="7">
        <v>0</v>
      </c>
      <c r="R356" s="59"/>
    </row>
    <row r="357" spans="1:18">
      <c r="A357" s="58" t="str">
        <f t="shared" si="37"/>
        <v>华南区福建省三明所</v>
      </c>
      <c r="B357" s="58" t="str">
        <f t="shared" si="38"/>
        <v>标箱组三明所</v>
      </c>
      <c r="C357" s="4">
        <v>317</v>
      </c>
      <c r="D357" s="4" t="s">
        <v>9</v>
      </c>
      <c r="E357" s="4" t="str">
        <f t="shared" si="33"/>
        <v>华南区</v>
      </c>
      <c r="F357" s="4" t="s">
        <v>40</v>
      </c>
      <c r="G357" s="4" t="s">
        <v>418</v>
      </c>
      <c r="H357" s="4" t="s">
        <v>424</v>
      </c>
      <c r="I357" s="83">
        <v>245.5</v>
      </c>
      <c r="J357" s="76">
        <f t="shared" ca="1" si="35"/>
        <v>5.8718712254391937E-2</v>
      </c>
      <c r="K357" s="4" t="str">
        <f t="shared" si="34"/>
        <v>是</v>
      </c>
      <c r="L357" s="4" t="s">
        <v>12</v>
      </c>
      <c r="M357" s="4"/>
      <c r="N357" s="4" t="s">
        <v>73</v>
      </c>
      <c r="O357" s="8"/>
      <c r="P357" s="84">
        <f t="shared" ca="1" si="36"/>
        <v>16180</v>
      </c>
      <c r="Q357" s="7">
        <v>0</v>
      </c>
      <c r="R357" s="59"/>
    </row>
    <row r="358" spans="1:18">
      <c r="A358" s="58" t="str">
        <f t="shared" si="37"/>
        <v>华南区福建省南平所</v>
      </c>
      <c r="B358" s="58" t="str">
        <f t="shared" si="38"/>
        <v>标箱组南平所</v>
      </c>
      <c r="C358" s="4">
        <v>318</v>
      </c>
      <c r="D358" s="4" t="s">
        <v>9</v>
      </c>
      <c r="E358" s="4" t="str">
        <f t="shared" si="33"/>
        <v>华南区</v>
      </c>
      <c r="F358" s="4" t="s">
        <v>40</v>
      </c>
      <c r="G358" s="4" t="s">
        <v>418</v>
      </c>
      <c r="H358" s="4" t="s">
        <v>422</v>
      </c>
      <c r="I358" s="83">
        <v>265.08999999999997</v>
      </c>
      <c r="J358" s="76">
        <f t="shared" ca="1" si="35"/>
        <v>6.3404250230210818E-2</v>
      </c>
      <c r="K358" s="4" t="str">
        <f t="shared" si="34"/>
        <v>是</v>
      </c>
      <c r="L358" s="4" t="s">
        <v>12</v>
      </c>
      <c r="M358" s="4"/>
      <c r="N358" s="4" t="s">
        <v>73</v>
      </c>
      <c r="O358" s="8"/>
      <c r="P358" s="84">
        <f t="shared" ca="1" si="36"/>
        <v>17472</v>
      </c>
      <c r="Q358" s="7">
        <v>0</v>
      </c>
      <c r="R358" s="59"/>
    </row>
    <row r="359" spans="1:18">
      <c r="A359" s="58" t="str">
        <f t="shared" si="37"/>
        <v>华南区福建省宁德所</v>
      </c>
      <c r="B359" s="58" t="str">
        <f t="shared" si="38"/>
        <v>标箱组宁德所</v>
      </c>
      <c r="C359" s="4">
        <v>319</v>
      </c>
      <c r="D359" s="4" t="s">
        <v>9</v>
      </c>
      <c r="E359" s="4" t="str">
        <f t="shared" si="33"/>
        <v>华南区</v>
      </c>
      <c r="F359" s="4" t="s">
        <v>40</v>
      </c>
      <c r="G359" s="4" t="s">
        <v>418</v>
      </c>
      <c r="H359" s="4" t="s">
        <v>423</v>
      </c>
      <c r="I359" s="83">
        <v>315.61</v>
      </c>
      <c r="J359" s="76">
        <f t="shared" ca="1" si="35"/>
        <v>7.5487628409811158E-2</v>
      </c>
      <c r="K359" s="4" t="str">
        <f t="shared" si="34"/>
        <v>是</v>
      </c>
      <c r="L359" s="4" t="s">
        <v>12</v>
      </c>
      <c r="M359" s="4"/>
      <c r="N359" s="4" t="s">
        <v>73</v>
      </c>
      <c r="O359" s="8"/>
      <c r="P359" s="84">
        <f t="shared" ca="1" si="36"/>
        <v>20801</v>
      </c>
      <c r="Q359" s="7">
        <v>0</v>
      </c>
      <c r="R359" s="59"/>
    </row>
    <row r="360" spans="1:18">
      <c r="A360" s="58" t="str">
        <f t="shared" si="37"/>
        <v>华南区福建省晋安所</v>
      </c>
      <c r="B360" s="58" t="str">
        <f t="shared" si="38"/>
        <v>标箱组晋安所</v>
      </c>
      <c r="C360" s="4">
        <v>320</v>
      </c>
      <c r="D360" s="4" t="s">
        <v>9</v>
      </c>
      <c r="E360" s="4" t="str">
        <f t="shared" si="33"/>
        <v>华南区</v>
      </c>
      <c r="F360" s="4" t="s">
        <v>40</v>
      </c>
      <c r="G360" s="4" t="s">
        <v>418</v>
      </c>
      <c r="H360" s="4" t="s">
        <v>421</v>
      </c>
      <c r="I360" s="83">
        <v>303.05</v>
      </c>
      <c r="J360" s="76">
        <f t="shared" ca="1" si="35"/>
        <v>7.2483526471256526E-2</v>
      </c>
      <c r="K360" s="4" t="str">
        <f t="shared" si="34"/>
        <v>是</v>
      </c>
      <c r="L360" s="4" t="s">
        <v>12</v>
      </c>
      <c r="M360" s="4"/>
      <c r="N360" s="4" t="s">
        <v>73</v>
      </c>
      <c r="O360" s="8"/>
      <c r="P360" s="84">
        <f t="shared" ca="1" si="36"/>
        <v>19973</v>
      </c>
      <c r="Q360" s="7">
        <v>0</v>
      </c>
      <c r="R360" s="59"/>
    </row>
    <row r="361" spans="1:18">
      <c r="A361" s="58" t="str">
        <f t="shared" si="37"/>
        <v>华南区福建省福州所</v>
      </c>
      <c r="B361" s="58" t="str">
        <f t="shared" si="38"/>
        <v>标箱组福州所</v>
      </c>
      <c r="C361" s="4">
        <v>321</v>
      </c>
      <c r="D361" s="4" t="s">
        <v>9</v>
      </c>
      <c r="E361" s="4" t="str">
        <f t="shared" ref="E361:E424" si="39">_xlfn.XLOOKUP($F361,F:F,E:E)</f>
        <v>华南区</v>
      </c>
      <c r="F361" s="4" t="s">
        <v>40</v>
      </c>
      <c r="G361" s="4" t="s">
        <v>418</v>
      </c>
      <c r="H361" s="4" t="s">
        <v>420</v>
      </c>
      <c r="I361" s="83">
        <v>194.27</v>
      </c>
      <c r="J361" s="76">
        <f t="shared" ca="1" si="35"/>
        <v>4.6465516210430637E-2</v>
      </c>
      <c r="K361" s="4" t="str">
        <f t="shared" ref="K361:K424" si="40">_xlfn.XLOOKUP(F361,F:F,K:K,0)</f>
        <v>是</v>
      </c>
      <c r="L361" s="4" t="s">
        <v>12</v>
      </c>
      <c r="M361" s="4"/>
      <c r="N361" s="4" t="s">
        <v>73</v>
      </c>
      <c r="O361" s="8"/>
      <c r="P361" s="84">
        <f t="shared" ca="1" si="36"/>
        <v>12804</v>
      </c>
      <c r="Q361" s="7">
        <v>0</v>
      </c>
      <c r="R361" s="59"/>
    </row>
    <row r="362" spans="1:18">
      <c r="A362" s="58" t="str">
        <f t="shared" si="37"/>
        <v>华南区福建省福清所</v>
      </c>
      <c r="B362" s="58" t="str">
        <f t="shared" si="38"/>
        <v>标箱组福清所</v>
      </c>
      <c r="C362" s="4">
        <v>322</v>
      </c>
      <c r="D362" s="4" t="s">
        <v>9</v>
      </c>
      <c r="E362" s="4" t="str">
        <f t="shared" si="39"/>
        <v>华南区</v>
      </c>
      <c r="F362" s="4" t="s">
        <v>40</v>
      </c>
      <c r="G362" s="4" t="s">
        <v>418</v>
      </c>
      <c r="H362" s="4" t="s">
        <v>419</v>
      </c>
      <c r="I362" s="83">
        <v>347.48</v>
      </c>
      <c r="J362" s="76">
        <f t="shared" ref="J362:J425" ca="1" si="41">I362/SUMIF($F$41:$G$456,$F362,$I$41:$I$456)</f>
        <v>8.3110297898802893E-2</v>
      </c>
      <c r="K362" s="4" t="str">
        <f t="shared" si="40"/>
        <v>是</v>
      </c>
      <c r="L362" s="4" t="s">
        <v>12</v>
      </c>
      <c r="M362" s="4"/>
      <c r="N362" s="4" t="s">
        <v>73</v>
      </c>
      <c r="O362" s="8"/>
      <c r="P362" s="84">
        <f t="shared" ref="P362:P425" ca="1" si="42">ROUND(J362*VLOOKUP(F362,F:P,11,0),0)</f>
        <v>22902</v>
      </c>
      <c r="Q362" s="7">
        <v>0</v>
      </c>
      <c r="R362" s="59"/>
    </row>
    <row r="363" spans="1:18">
      <c r="A363" s="58" t="str">
        <f t="shared" si="37"/>
        <v>西南区新疆维吾尔自治区乌鲁木齐所</v>
      </c>
      <c r="B363" s="58" t="str">
        <f t="shared" si="38"/>
        <v>标箱组乌鲁木齐所</v>
      </c>
      <c r="C363" s="4">
        <v>323</v>
      </c>
      <c r="D363" s="4" t="s">
        <v>9</v>
      </c>
      <c r="E363" s="4" t="str">
        <f t="shared" si="39"/>
        <v>西南区</v>
      </c>
      <c r="F363" s="4" t="s">
        <v>70</v>
      </c>
      <c r="G363" s="4" t="s">
        <v>504</v>
      </c>
      <c r="H363" s="4" t="s">
        <v>513</v>
      </c>
      <c r="I363" s="83">
        <v>197.46</v>
      </c>
      <c r="J363" s="76">
        <f t="shared" ca="1" si="41"/>
        <v>8.6735747198636554E-2</v>
      </c>
      <c r="K363" s="4" t="str">
        <f t="shared" si="40"/>
        <v>否</v>
      </c>
      <c r="L363" s="4" t="s">
        <v>12</v>
      </c>
      <c r="M363" s="4"/>
      <c r="N363" s="4" t="s">
        <v>73</v>
      </c>
      <c r="O363" s="7"/>
      <c r="P363" s="84">
        <f t="shared" ca="1" si="42"/>
        <v>22091</v>
      </c>
      <c r="Q363" s="7">
        <v>0</v>
      </c>
      <c r="R363" s="59"/>
    </row>
    <row r="364" spans="1:18">
      <c r="A364" s="58" t="str">
        <f t="shared" si="37"/>
        <v>西南区新疆维吾尔自治区伊犁所</v>
      </c>
      <c r="B364" s="58" t="str">
        <f t="shared" si="38"/>
        <v>标箱组伊犁所</v>
      </c>
      <c r="C364" s="4">
        <v>324</v>
      </c>
      <c r="D364" s="4" t="s">
        <v>9</v>
      </c>
      <c r="E364" s="4" t="str">
        <f t="shared" si="39"/>
        <v>西南区</v>
      </c>
      <c r="F364" s="4" t="s">
        <v>70</v>
      </c>
      <c r="G364" s="4" t="s">
        <v>504</v>
      </c>
      <c r="H364" s="4" t="s">
        <v>514</v>
      </c>
      <c r="I364" s="83">
        <v>240.17</v>
      </c>
      <c r="J364" s="76">
        <f t="shared" ca="1" si="41"/>
        <v>0.10549642664183399</v>
      </c>
      <c r="K364" s="4" t="str">
        <f t="shared" si="40"/>
        <v>否</v>
      </c>
      <c r="L364" s="4" t="s">
        <v>12</v>
      </c>
      <c r="M364" s="4"/>
      <c r="N364" s="4" t="s">
        <v>73</v>
      </c>
      <c r="O364" s="7"/>
      <c r="P364" s="84">
        <f t="shared" ca="1" si="42"/>
        <v>26869</v>
      </c>
      <c r="Q364" s="7">
        <v>0</v>
      </c>
      <c r="R364" s="59"/>
    </row>
    <row r="365" spans="1:18">
      <c r="A365" s="58" t="str">
        <f t="shared" si="37"/>
        <v>西南区新疆维吾尔自治区克拉玛依所</v>
      </c>
      <c r="B365" s="58" t="str">
        <f t="shared" si="38"/>
        <v>标箱组克拉玛依所</v>
      </c>
      <c r="C365" s="4">
        <v>325</v>
      </c>
      <c r="D365" s="4" t="s">
        <v>9</v>
      </c>
      <c r="E365" s="4" t="str">
        <f t="shared" si="39"/>
        <v>西南区</v>
      </c>
      <c r="F365" s="4" t="s">
        <v>70</v>
      </c>
      <c r="G365" s="4" t="s">
        <v>504</v>
      </c>
      <c r="H365" s="4" t="s">
        <v>510</v>
      </c>
      <c r="I365" s="83">
        <v>102.2</v>
      </c>
      <c r="J365" s="76">
        <f t="shared" ca="1" si="41"/>
        <v>4.4892096443333619E-2</v>
      </c>
      <c r="K365" s="4" t="str">
        <f t="shared" si="40"/>
        <v>否</v>
      </c>
      <c r="L365" s="4" t="s">
        <v>12</v>
      </c>
      <c r="M365" s="4"/>
      <c r="N365" s="4" t="s">
        <v>73</v>
      </c>
      <c r="O365" s="7"/>
      <c r="P365" s="84">
        <f t="shared" ca="1" si="42"/>
        <v>11434</v>
      </c>
      <c r="Q365" s="7">
        <v>0</v>
      </c>
      <c r="R365" s="59"/>
    </row>
    <row r="366" spans="1:18">
      <c r="A366" s="58" t="str">
        <f t="shared" si="37"/>
        <v>西南区新疆维吾尔自治区哈密所</v>
      </c>
      <c r="B366" s="58" t="str">
        <f t="shared" si="38"/>
        <v>标箱组哈密所</v>
      </c>
      <c r="C366" s="4">
        <v>326</v>
      </c>
      <c r="D366" s="4" t="s">
        <v>9</v>
      </c>
      <c r="E366" s="4" t="str">
        <f t="shared" si="39"/>
        <v>西南区</v>
      </c>
      <c r="F366" s="4" t="s">
        <v>70</v>
      </c>
      <c r="G366" s="4" t="s">
        <v>504</v>
      </c>
      <c r="H366" s="4" t="s">
        <v>508</v>
      </c>
      <c r="I366" s="83">
        <v>192.03</v>
      </c>
      <c r="J366" s="76">
        <f t="shared" ca="1" si="41"/>
        <v>8.435058003926961E-2</v>
      </c>
      <c r="K366" s="4" t="str">
        <f t="shared" si="40"/>
        <v>否</v>
      </c>
      <c r="L366" s="4" t="s">
        <v>12</v>
      </c>
      <c r="M366" s="4"/>
      <c r="N366" s="4" t="s">
        <v>73</v>
      </c>
      <c r="O366" s="7"/>
      <c r="P366" s="84">
        <f t="shared" ca="1" si="42"/>
        <v>21483</v>
      </c>
      <c r="Q366" s="7">
        <v>0</v>
      </c>
      <c r="R366" s="59"/>
    </row>
    <row r="367" spans="1:18">
      <c r="A367" s="58" t="str">
        <f t="shared" si="37"/>
        <v>西南区新疆维吾尔自治区喀什所</v>
      </c>
      <c r="B367" s="58" t="str">
        <f t="shared" si="38"/>
        <v>标箱组喀什所</v>
      </c>
      <c r="C367" s="4">
        <v>327</v>
      </c>
      <c r="D367" s="4" t="s">
        <v>9</v>
      </c>
      <c r="E367" s="4" t="str">
        <f t="shared" si="39"/>
        <v>西南区</v>
      </c>
      <c r="F367" s="4" t="s">
        <v>70</v>
      </c>
      <c r="G367" s="4" t="s">
        <v>504</v>
      </c>
      <c r="H367" s="4" t="s">
        <v>509</v>
      </c>
      <c r="I367" s="83">
        <v>814.03</v>
      </c>
      <c r="J367" s="76">
        <f t="shared" ca="1" si="41"/>
        <v>0.35756862297227848</v>
      </c>
      <c r="K367" s="4" t="str">
        <f t="shared" si="40"/>
        <v>否</v>
      </c>
      <c r="L367" s="4" t="s">
        <v>12</v>
      </c>
      <c r="M367" s="4"/>
      <c r="N367" s="4" t="s">
        <v>73</v>
      </c>
      <c r="O367" s="7"/>
      <c r="P367" s="84">
        <f t="shared" ca="1" si="42"/>
        <v>91069</v>
      </c>
      <c r="Q367" s="7">
        <v>0</v>
      </c>
      <c r="R367" s="59"/>
    </row>
    <row r="368" spans="1:18">
      <c r="A368" s="58" t="str">
        <f t="shared" si="37"/>
        <v>西南区新疆维吾尔自治区奎屯所</v>
      </c>
      <c r="B368" s="58" t="str">
        <f t="shared" si="38"/>
        <v>标箱组奎屯所</v>
      </c>
      <c r="C368" s="4">
        <v>328</v>
      </c>
      <c r="D368" s="4" t="s">
        <v>9</v>
      </c>
      <c r="E368" s="4" t="str">
        <f t="shared" si="39"/>
        <v>西南区</v>
      </c>
      <c r="F368" s="4" t="s">
        <v>70</v>
      </c>
      <c r="G368" s="4" t="s">
        <v>504</v>
      </c>
      <c r="H368" s="4" t="s">
        <v>511</v>
      </c>
      <c r="I368" s="83">
        <v>150.33000000000001</v>
      </c>
      <c r="J368" s="76">
        <f t="shared" ca="1" si="41"/>
        <v>6.6033550472860497E-2</v>
      </c>
      <c r="K368" s="4" t="str">
        <f t="shared" si="40"/>
        <v>否</v>
      </c>
      <c r="L368" s="4" t="s">
        <v>12</v>
      </c>
      <c r="M368" s="4"/>
      <c r="N368" s="4" t="s">
        <v>73</v>
      </c>
      <c r="O368" s="7"/>
      <c r="P368" s="84">
        <f t="shared" ca="1" si="42"/>
        <v>16818</v>
      </c>
      <c r="Q368" s="7">
        <v>0</v>
      </c>
      <c r="R368" s="59"/>
    </row>
    <row r="369" spans="1:18">
      <c r="A369" s="58" t="str">
        <f t="shared" si="37"/>
        <v>西南区新疆维吾尔自治区巴音郭楞所</v>
      </c>
      <c r="B369" s="58" t="str">
        <f t="shared" si="38"/>
        <v>标箱组巴音郭楞所</v>
      </c>
      <c r="C369" s="4">
        <v>329</v>
      </c>
      <c r="D369" s="4" t="s">
        <v>9</v>
      </c>
      <c r="E369" s="4" t="str">
        <f t="shared" si="39"/>
        <v>西南区</v>
      </c>
      <c r="F369" s="4" t="s">
        <v>70</v>
      </c>
      <c r="G369" s="4" t="s">
        <v>504</v>
      </c>
      <c r="H369" s="4" t="s">
        <v>506</v>
      </c>
      <c r="I369" s="83">
        <v>116.32</v>
      </c>
      <c r="J369" s="76">
        <f t="shared" ca="1" si="41"/>
        <v>5.109440957229517E-2</v>
      </c>
      <c r="K369" s="4" t="str">
        <f t="shared" si="40"/>
        <v>否</v>
      </c>
      <c r="L369" s="4" t="s">
        <v>12</v>
      </c>
      <c r="M369" s="4"/>
      <c r="N369" s="4" t="s">
        <v>73</v>
      </c>
      <c r="O369" s="7"/>
      <c r="P369" s="84">
        <f t="shared" ca="1" si="42"/>
        <v>13013</v>
      </c>
      <c r="Q369" s="7">
        <v>0</v>
      </c>
      <c r="R369" s="59"/>
    </row>
    <row r="370" spans="1:18">
      <c r="A370" s="58" t="str">
        <f t="shared" si="37"/>
        <v>西南区新疆维吾尔自治区昌吉所</v>
      </c>
      <c r="B370" s="58" t="str">
        <f t="shared" si="38"/>
        <v>标箱组昌吉所</v>
      </c>
      <c r="C370" s="4">
        <v>330</v>
      </c>
      <c r="D370" s="4" t="s">
        <v>9</v>
      </c>
      <c r="E370" s="4" t="str">
        <f t="shared" si="39"/>
        <v>西南区</v>
      </c>
      <c r="F370" s="4" t="s">
        <v>70</v>
      </c>
      <c r="G370" s="4" t="s">
        <v>504</v>
      </c>
      <c r="H370" s="4" t="s">
        <v>507</v>
      </c>
      <c r="I370" s="83">
        <v>170.33</v>
      </c>
      <c r="J370" s="76">
        <f t="shared" ca="1" si="41"/>
        <v>7.4818696547876859E-2</v>
      </c>
      <c r="K370" s="4" t="str">
        <f t="shared" si="40"/>
        <v>否</v>
      </c>
      <c r="L370" s="4" t="s">
        <v>12</v>
      </c>
      <c r="M370" s="4"/>
      <c r="N370" s="4" t="s">
        <v>73</v>
      </c>
      <c r="O370" s="7"/>
      <c r="P370" s="84">
        <f t="shared" ca="1" si="42"/>
        <v>19056</v>
      </c>
      <c r="Q370" s="7">
        <v>0</v>
      </c>
      <c r="R370" s="59"/>
    </row>
    <row r="371" spans="1:18">
      <c r="A371" s="58" t="str">
        <f t="shared" si="37"/>
        <v>西南区新疆维吾尔自治区石河子所</v>
      </c>
      <c r="B371" s="58" t="str">
        <f t="shared" si="38"/>
        <v>标箱组石河子所</v>
      </c>
      <c r="C371" s="4">
        <v>331</v>
      </c>
      <c r="D371" s="4" t="s">
        <v>9</v>
      </c>
      <c r="E371" s="4" t="str">
        <f t="shared" si="39"/>
        <v>西南区</v>
      </c>
      <c r="F371" s="4" t="s">
        <v>70</v>
      </c>
      <c r="G371" s="4" t="s">
        <v>504</v>
      </c>
      <c r="H371" s="4" t="s">
        <v>512</v>
      </c>
      <c r="I371" s="83">
        <v>47.94</v>
      </c>
      <c r="J371" s="76">
        <f t="shared" ca="1" si="41"/>
        <v>2.1057995141814223E-2</v>
      </c>
      <c r="K371" s="4" t="str">
        <f t="shared" si="40"/>
        <v>否</v>
      </c>
      <c r="L371" s="4" t="s">
        <v>12</v>
      </c>
      <c r="M371" s="4"/>
      <c r="N371" s="4" t="s">
        <v>73</v>
      </c>
      <c r="O371" s="7"/>
      <c r="P371" s="84">
        <f t="shared" ca="1" si="42"/>
        <v>5363</v>
      </c>
      <c r="Q371" s="7">
        <v>0</v>
      </c>
      <c r="R371" s="59"/>
    </row>
    <row r="372" spans="1:18">
      <c r="A372" s="58" t="str">
        <f t="shared" si="37"/>
        <v>西南区新疆维吾尔自治区阿克苏所</v>
      </c>
      <c r="B372" s="58" t="str">
        <f t="shared" si="38"/>
        <v>标箱组阿克苏所</v>
      </c>
      <c r="C372" s="4">
        <v>332</v>
      </c>
      <c r="D372" s="4" t="s">
        <v>9</v>
      </c>
      <c r="E372" s="4" t="str">
        <f t="shared" si="39"/>
        <v>西南区</v>
      </c>
      <c r="F372" s="4" t="s">
        <v>70</v>
      </c>
      <c r="G372" s="4" t="s">
        <v>504</v>
      </c>
      <c r="H372" s="4" t="s">
        <v>505</v>
      </c>
      <c r="I372" s="83">
        <v>245.76</v>
      </c>
      <c r="J372" s="76">
        <f t="shared" ca="1" si="41"/>
        <v>0.10795187496980108</v>
      </c>
      <c r="K372" s="4" t="str">
        <f t="shared" si="40"/>
        <v>否</v>
      </c>
      <c r="L372" s="4" t="s">
        <v>12</v>
      </c>
      <c r="M372" s="4"/>
      <c r="N372" s="4" t="s">
        <v>73</v>
      </c>
      <c r="O372" s="7"/>
      <c r="P372" s="84">
        <f t="shared" ca="1" si="42"/>
        <v>27494</v>
      </c>
      <c r="Q372" s="7">
        <v>0</v>
      </c>
      <c r="R372" s="59"/>
    </row>
    <row r="373" spans="1:18">
      <c r="A373" s="58" t="str">
        <f t="shared" si="37"/>
        <v>西南区甘肃省临夏所</v>
      </c>
      <c r="B373" s="58" t="str">
        <f t="shared" si="38"/>
        <v>标箱组临夏所</v>
      </c>
      <c r="C373" s="4">
        <v>333</v>
      </c>
      <c r="D373" s="4" t="s">
        <v>9</v>
      </c>
      <c r="E373" s="4" t="str">
        <f t="shared" si="39"/>
        <v>西南区</v>
      </c>
      <c r="F373" s="4" t="s">
        <v>66</v>
      </c>
      <c r="G373" s="4" t="s">
        <v>476</v>
      </c>
      <c r="H373" s="4" t="s">
        <v>482</v>
      </c>
      <c r="I373" s="83">
        <v>539.48</v>
      </c>
      <c r="J373" s="76">
        <f t="shared" ca="1" si="41"/>
        <v>0.15907013498611217</v>
      </c>
      <c r="K373" s="4" t="str">
        <f t="shared" si="40"/>
        <v>是</v>
      </c>
      <c r="L373" s="4" t="s">
        <v>12</v>
      </c>
      <c r="M373" s="4"/>
      <c r="N373" s="4" t="s">
        <v>73</v>
      </c>
      <c r="O373" s="8"/>
      <c r="P373" s="84">
        <f t="shared" ca="1" si="42"/>
        <v>60354</v>
      </c>
      <c r="Q373" s="7">
        <v>0</v>
      </c>
      <c r="R373" s="59"/>
    </row>
    <row r="374" spans="1:18">
      <c r="A374" s="58" t="str">
        <f t="shared" si="37"/>
        <v>西南区甘肃省兰州所</v>
      </c>
      <c r="B374" s="58" t="str">
        <f t="shared" si="38"/>
        <v>标箱组兰州所</v>
      </c>
      <c r="C374" s="4">
        <v>334</v>
      </c>
      <c r="D374" s="4" t="s">
        <v>9</v>
      </c>
      <c r="E374" s="4" t="str">
        <f t="shared" si="39"/>
        <v>西南区</v>
      </c>
      <c r="F374" s="4" t="s">
        <v>66</v>
      </c>
      <c r="G374" s="4" t="s">
        <v>476</v>
      </c>
      <c r="H374" s="4" t="s">
        <v>481</v>
      </c>
      <c r="I374" s="83">
        <v>306.92</v>
      </c>
      <c r="J374" s="76">
        <f t="shared" ca="1" si="41"/>
        <v>9.0497897660594545E-2</v>
      </c>
      <c r="K374" s="4" t="str">
        <f t="shared" si="40"/>
        <v>是</v>
      </c>
      <c r="L374" s="4" t="s">
        <v>12</v>
      </c>
      <c r="M374" s="4"/>
      <c r="N374" s="4" t="s">
        <v>73</v>
      </c>
      <c r="O374" s="8"/>
      <c r="P374" s="84">
        <f t="shared" ca="1" si="42"/>
        <v>34337</v>
      </c>
      <c r="Q374" s="7">
        <v>0</v>
      </c>
      <c r="R374" s="59"/>
    </row>
    <row r="375" spans="1:18">
      <c r="A375" s="58" t="str">
        <f t="shared" si="37"/>
        <v>西南区甘肃省天水所</v>
      </c>
      <c r="B375" s="58" t="str">
        <f t="shared" si="38"/>
        <v>标箱组天水所</v>
      </c>
      <c r="C375" s="4">
        <v>335</v>
      </c>
      <c r="D375" s="4" t="s">
        <v>9</v>
      </c>
      <c r="E375" s="4" t="str">
        <f t="shared" si="39"/>
        <v>西南区</v>
      </c>
      <c r="F375" s="4" t="s">
        <v>66</v>
      </c>
      <c r="G375" s="4" t="s">
        <v>476</v>
      </c>
      <c r="H375" s="4" t="s">
        <v>484</v>
      </c>
      <c r="I375" s="83">
        <v>351.93</v>
      </c>
      <c r="J375" s="76">
        <f t="shared" ca="1" si="41"/>
        <v>0.10376946801672435</v>
      </c>
      <c r="K375" s="4" t="str">
        <f t="shared" si="40"/>
        <v>是</v>
      </c>
      <c r="L375" s="4" t="s">
        <v>12</v>
      </c>
      <c r="M375" s="4"/>
      <c r="N375" s="4" t="s">
        <v>73</v>
      </c>
      <c r="O375" s="8"/>
      <c r="P375" s="84">
        <f t="shared" ca="1" si="42"/>
        <v>39372</v>
      </c>
      <c r="Q375" s="7">
        <v>0</v>
      </c>
      <c r="R375" s="59"/>
    </row>
    <row r="376" spans="1:18">
      <c r="A376" s="58" t="str">
        <f t="shared" si="37"/>
        <v>西南区甘肃省拉萨所</v>
      </c>
      <c r="B376" s="58" t="str">
        <f t="shared" si="38"/>
        <v>标箱组拉萨所</v>
      </c>
      <c r="C376" s="4">
        <v>336</v>
      </c>
      <c r="D376" s="4" t="s">
        <v>9</v>
      </c>
      <c r="E376" s="4" t="str">
        <f t="shared" si="39"/>
        <v>西南区</v>
      </c>
      <c r="F376" s="4" t="s">
        <v>66</v>
      </c>
      <c r="G376" s="4" t="s">
        <v>476</v>
      </c>
      <c r="H376" s="4" t="s">
        <v>480</v>
      </c>
      <c r="I376" s="83">
        <v>592.58000000000004</v>
      </c>
      <c r="J376" s="76">
        <f t="shared" ca="1" si="41"/>
        <v>0.17472710867885807</v>
      </c>
      <c r="K376" s="4" t="str">
        <f t="shared" si="40"/>
        <v>是</v>
      </c>
      <c r="L376" s="4" t="s">
        <v>12</v>
      </c>
      <c r="M376" s="4"/>
      <c r="N376" s="4" t="s">
        <v>73</v>
      </c>
      <c r="O376" s="8"/>
      <c r="P376" s="84">
        <f t="shared" ca="1" si="42"/>
        <v>66295</v>
      </c>
      <c r="Q376" s="7">
        <v>0</v>
      </c>
      <c r="R376" s="59"/>
    </row>
    <row r="377" spans="1:18">
      <c r="A377" s="58" t="str">
        <f t="shared" si="37"/>
        <v>西南区甘肃省格尔木所</v>
      </c>
      <c r="B377" s="58" t="str">
        <f t="shared" si="38"/>
        <v>标箱组格尔木所</v>
      </c>
      <c r="C377" s="4">
        <v>337</v>
      </c>
      <c r="D377" s="4" t="s">
        <v>9</v>
      </c>
      <c r="E377" s="4" t="str">
        <f t="shared" si="39"/>
        <v>西南区</v>
      </c>
      <c r="F377" s="4" t="s">
        <v>66</v>
      </c>
      <c r="G377" s="4" t="s">
        <v>476</v>
      </c>
      <c r="H377" s="4" t="s">
        <v>478</v>
      </c>
      <c r="I377" s="83">
        <v>106.25</v>
      </c>
      <c r="J377" s="76">
        <f t="shared" ca="1" si="41"/>
        <v>3.1328690298573471E-2</v>
      </c>
      <c r="K377" s="4" t="str">
        <f t="shared" si="40"/>
        <v>是</v>
      </c>
      <c r="L377" s="4" t="s">
        <v>12</v>
      </c>
      <c r="M377" s="4"/>
      <c r="N377" s="4" t="s">
        <v>73</v>
      </c>
      <c r="O377" s="8"/>
      <c r="P377" s="84">
        <f t="shared" ca="1" si="42"/>
        <v>11887</v>
      </c>
      <c r="Q377" s="7">
        <v>0</v>
      </c>
      <c r="R377" s="59"/>
    </row>
    <row r="378" spans="1:18">
      <c r="A378" s="58" t="str">
        <f t="shared" si="37"/>
        <v>西南区甘肃省武威所</v>
      </c>
      <c r="B378" s="58" t="str">
        <f t="shared" si="38"/>
        <v>标箱组武威所</v>
      </c>
      <c r="C378" s="4">
        <v>338</v>
      </c>
      <c r="D378" s="4" t="s">
        <v>9</v>
      </c>
      <c r="E378" s="4" t="str">
        <f t="shared" si="39"/>
        <v>西南区</v>
      </c>
      <c r="F378" s="4" t="s">
        <v>66</v>
      </c>
      <c r="G378" s="4" t="s">
        <v>476</v>
      </c>
      <c r="H378" s="4" t="s">
        <v>485</v>
      </c>
      <c r="I378" s="83">
        <v>359.32</v>
      </c>
      <c r="J378" s="76">
        <f t="shared" ca="1" si="41"/>
        <v>0.10594847057019689</v>
      </c>
      <c r="K378" s="4" t="str">
        <f t="shared" si="40"/>
        <v>是</v>
      </c>
      <c r="L378" s="4" t="s">
        <v>12</v>
      </c>
      <c r="M378" s="4"/>
      <c r="N378" s="4" t="s">
        <v>73</v>
      </c>
      <c r="O378" s="8"/>
      <c r="P378" s="84">
        <f t="shared" ca="1" si="42"/>
        <v>40199</v>
      </c>
      <c r="Q378" s="7">
        <v>0</v>
      </c>
      <c r="R378" s="59"/>
    </row>
    <row r="379" spans="1:18">
      <c r="A379" s="58" t="str">
        <f t="shared" si="37"/>
        <v>西南区甘肃省白银所</v>
      </c>
      <c r="B379" s="58" t="str">
        <f t="shared" si="38"/>
        <v>标箱组白银所</v>
      </c>
      <c r="C379" s="4">
        <v>339</v>
      </c>
      <c r="D379" s="4" t="s">
        <v>9</v>
      </c>
      <c r="E379" s="4" t="str">
        <f t="shared" si="39"/>
        <v>西南区</v>
      </c>
      <c r="F379" s="4" t="s">
        <v>66</v>
      </c>
      <c r="G379" s="4" t="s">
        <v>476</v>
      </c>
      <c r="H379" s="4" t="s">
        <v>477</v>
      </c>
      <c r="I379" s="83">
        <v>186.28</v>
      </c>
      <c r="J379" s="76">
        <f t="shared" ca="1" si="41"/>
        <v>5.4926196977113095E-2</v>
      </c>
      <c r="K379" s="4" t="str">
        <f t="shared" si="40"/>
        <v>是</v>
      </c>
      <c r="L379" s="4" t="s">
        <v>12</v>
      </c>
      <c r="M379" s="4"/>
      <c r="N379" s="4" t="s">
        <v>73</v>
      </c>
      <c r="O379" s="8"/>
      <c r="P379" s="84">
        <f t="shared" ca="1" si="42"/>
        <v>20840</v>
      </c>
      <c r="Q379" s="7">
        <v>0</v>
      </c>
      <c r="R379" s="59"/>
    </row>
    <row r="380" spans="1:18">
      <c r="A380" s="58" t="str">
        <f t="shared" si="37"/>
        <v>西南区甘肃省西宁所</v>
      </c>
      <c r="B380" s="58" t="str">
        <f t="shared" si="38"/>
        <v>标箱组西宁所</v>
      </c>
      <c r="C380" s="4">
        <v>340</v>
      </c>
      <c r="D380" s="4" t="s">
        <v>9</v>
      </c>
      <c r="E380" s="4" t="str">
        <f t="shared" si="39"/>
        <v>西南区</v>
      </c>
      <c r="F380" s="4" t="s">
        <v>66</v>
      </c>
      <c r="G380" s="4" t="s">
        <v>476</v>
      </c>
      <c r="H380" s="4" t="s">
        <v>486</v>
      </c>
      <c r="I380" s="83">
        <v>463.22</v>
      </c>
      <c r="J380" s="76">
        <f t="shared" ca="1" si="41"/>
        <v>0.13658424395393134</v>
      </c>
      <c r="K380" s="4" t="str">
        <f t="shared" si="40"/>
        <v>是</v>
      </c>
      <c r="L380" s="4" t="s">
        <v>12</v>
      </c>
      <c r="M380" s="4"/>
      <c r="N380" s="4" t="s">
        <v>73</v>
      </c>
      <c r="O380" s="8"/>
      <c r="P380" s="84">
        <f t="shared" ca="1" si="42"/>
        <v>51823</v>
      </c>
      <c r="Q380" s="7">
        <v>0</v>
      </c>
      <c r="R380" s="59"/>
    </row>
    <row r="381" spans="1:18">
      <c r="A381" s="58" t="str">
        <f t="shared" si="37"/>
        <v>西南区甘肃省酒泉所</v>
      </c>
      <c r="B381" s="58" t="str">
        <f t="shared" si="38"/>
        <v>标箱组酒泉所</v>
      </c>
      <c r="C381" s="4">
        <v>341</v>
      </c>
      <c r="D381" s="4" t="s">
        <v>9</v>
      </c>
      <c r="E381" s="4" t="str">
        <f t="shared" si="39"/>
        <v>西南区</v>
      </c>
      <c r="F381" s="4" t="s">
        <v>66</v>
      </c>
      <c r="G381" s="4" t="s">
        <v>476</v>
      </c>
      <c r="H381" s="4" t="s">
        <v>479</v>
      </c>
      <c r="I381" s="83">
        <v>112.84</v>
      </c>
      <c r="J381" s="76">
        <f t="shared" ca="1" si="41"/>
        <v>3.3271806242739115E-2</v>
      </c>
      <c r="K381" s="4" t="str">
        <f t="shared" si="40"/>
        <v>是</v>
      </c>
      <c r="L381" s="4" t="s">
        <v>12</v>
      </c>
      <c r="M381" s="4"/>
      <c r="N381" s="4" t="s">
        <v>73</v>
      </c>
      <c r="O381" s="8"/>
      <c r="P381" s="84">
        <f t="shared" ca="1" si="42"/>
        <v>12624</v>
      </c>
      <c r="Q381" s="7">
        <v>0</v>
      </c>
      <c r="R381" s="59"/>
    </row>
    <row r="382" spans="1:18">
      <c r="A382" s="58" t="str">
        <f t="shared" si="37"/>
        <v>西南区甘肃省陇南所</v>
      </c>
      <c r="B382" s="58" t="str">
        <f t="shared" si="38"/>
        <v>标箱组陇南所</v>
      </c>
      <c r="C382" s="4">
        <v>342</v>
      </c>
      <c r="D382" s="4" t="s">
        <v>9</v>
      </c>
      <c r="E382" s="4" t="str">
        <f t="shared" si="39"/>
        <v>西南区</v>
      </c>
      <c r="F382" s="4" t="s">
        <v>66</v>
      </c>
      <c r="G382" s="4" t="s">
        <v>476</v>
      </c>
      <c r="H382" s="4" t="s">
        <v>483</v>
      </c>
      <c r="I382" s="83">
        <v>372.64</v>
      </c>
      <c r="J382" s="76">
        <f t="shared" ca="1" si="41"/>
        <v>0.10987598261515688</v>
      </c>
      <c r="K382" s="4" t="str">
        <f t="shared" si="40"/>
        <v>是</v>
      </c>
      <c r="L382" s="4" t="s">
        <v>12</v>
      </c>
      <c r="M382" s="4"/>
      <c r="N382" s="4" t="s">
        <v>73</v>
      </c>
      <c r="O382" s="8"/>
      <c r="P382" s="84">
        <f t="shared" ca="1" si="42"/>
        <v>41689</v>
      </c>
      <c r="Q382" s="7">
        <v>0</v>
      </c>
      <c r="R382" s="59"/>
    </row>
    <row r="383" spans="1:18">
      <c r="A383" s="58" t="str">
        <f t="shared" si="37"/>
        <v>西南区陕西省咸阳所</v>
      </c>
      <c r="B383" s="58" t="str">
        <f t="shared" si="38"/>
        <v>标箱组咸阳所</v>
      </c>
      <c r="C383" s="4">
        <v>343</v>
      </c>
      <c r="D383" s="4" t="s">
        <v>9</v>
      </c>
      <c r="E383" s="4" t="str">
        <f t="shared" si="39"/>
        <v>西南区</v>
      </c>
      <c r="F383" s="4" t="s">
        <v>65</v>
      </c>
      <c r="G383" s="4" t="s">
        <v>495</v>
      </c>
      <c r="H383" s="4" t="s">
        <v>501</v>
      </c>
      <c r="I383" s="83">
        <v>487.4</v>
      </c>
      <c r="J383" s="76">
        <f t="shared" ca="1" si="41"/>
        <v>0.10681615961498846</v>
      </c>
      <c r="K383" s="4" t="str">
        <f t="shared" si="40"/>
        <v>是</v>
      </c>
      <c r="L383" s="4" t="s">
        <v>12</v>
      </c>
      <c r="M383" s="4"/>
      <c r="N383" s="4" t="s">
        <v>73</v>
      </c>
      <c r="O383" s="8"/>
      <c r="P383" s="84">
        <f t="shared" ca="1" si="42"/>
        <v>54528</v>
      </c>
      <c r="Q383" s="7">
        <v>0</v>
      </c>
      <c r="R383" s="59"/>
    </row>
    <row r="384" spans="1:18">
      <c r="A384" s="58" t="str">
        <f t="shared" si="37"/>
        <v>西南区陕西省固原所</v>
      </c>
      <c r="B384" s="58" t="str">
        <f t="shared" si="38"/>
        <v>标箱组固原所</v>
      </c>
      <c r="C384" s="4">
        <v>344</v>
      </c>
      <c r="D384" s="4" t="s">
        <v>9</v>
      </c>
      <c r="E384" s="4" t="str">
        <f t="shared" si="39"/>
        <v>西南区</v>
      </c>
      <c r="F384" s="4" t="s">
        <v>65</v>
      </c>
      <c r="G384" s="4" t="s">
        <v>495</v>
      </c>
      <c r="H384" s="4" t="s">
        <v>497</v>
      </c>
      <c r="I384" s="83">
        <v>237.35</v>
      </c>
      <c r="J384" s="76">
        <f t="shared" ca="1" si="41"/>
        <v>5.2016445393142208E-2</v>
      </c>
      <c r="K384" s="4" t="str">
        <f t="shared" si="40"/>
        <v>是</v>
      </c>
      <c r="L384" s="4" t="s">
        <v>12</v>
      </c>
      <c r="M384" s="4"/>
      <c r="N384" s="4" t="s">
        <v>73</v>
      </c>
      <c r="O384" s="8"/>
      <c r="P384" s="84">
        <f t="shared" ca="1" si="42"/>
        <v>26553</v>
      </c>
      <c r="Q384" s="7">
        <v>0</v>
      </c>
      <c r="R384" s="59"/>
    </row>
    <row r="385" spans="1:18">
      <c r="A385" s="58" t="str">
        <f t="shared" si="37"/>
        <v>西南区陕西省大荔所</v>
      </c>
      <c r="B385" s="58" t="str">
        <f t="shared" si="38"/>
        <v>标箱组大荔所</v>
      </c>
      <c r="C385" s="4">
        <v>345</v>
      </c>
      <c r="D385" s="4" t="s">
        <v>9</v>
      </c>
      <c r="E385" s="4" t="str">
        <f t="shared" si="39"/>
        <v>西南区</v>
      </c>
      <c r="F385" s="4" t="s">
        <v>65</v>
      </c>
      <c r="G385" s="4" t="s">
        <v>495</v>
      </c>
      <c r="H385" s="4" t="s">
        <v>496</v>
      </c>
      <c r="I385" s="83">
        <v>197.3</v>
      </c>
      <c r="J385" s="76">
        <f t="shared" ca="1" si="41"/>
        <v>4.3239286606559756E-2</v>
      </c>
      <c r="K385" s="4" t="str">
        <f t="shared" si="40"/>
        <v>是</v>
      </c>
      <c r="L385" s="4" t="s">
        <v>12</v>
      </c>
      <c r="M385" s="4"/>
      <c r="N385" s="4" t="s">
        <v>73</v>
      </c>
      <c r="O385" s="8"/>
      <c r="P385" s="84">
        <f t="shared" ca="1" si="42"/>
        <v>22073</v>
      </c>
      <c r="Q385" s="7">
        <v>0</v>
      </c>
      <c r="R385" s="59"/>
    </row>
    <row r="386" spans="1:18">
      <c r="A386" s="58" t="str">
        <f t="shared" si="37"/>
        <v>西南区陕西省平凉所</v>
      </c>
      <c r="B386" s="58" t="str">
        <f t="shared" si="38"/>
        <v>标箱组平凉所</v>
      </c>
      <c r="C386" s="4">
        <v>346</v>
      </c>
      <c r="D386" s="4" t="s">
        <v>9</v>
      </c>
      <c r="E386" s="4" t="str">
        <f t="shared" si="39"/>
        <v>西南区</v>
      </c>
      <c r="F386" s="4" t="s">
        <v>65</v>
      </c>
      <c r="G386" s="4" t="s">
        <v>495</v>
      </c>
      <c r="H386" s="4" t="s">
        <v>498</v>
      </c>
      <c r="I386" s="83">
        <v>164.78</v>
      </c>
      <c r="J386" s="76">
        <f t="shared" ca="1" si="41"/>
        <v>3.6112365164870333E-2</v>
      </c>
      <c r="K386" s="4" t="str">
        <f t="shared" si="40"/>
        <v>是</v>
      </c>
      <c r="L386" s="4" t="s">
        <v>12</v>
      </c>
      <c r="M386" s="4"/>
      <c r="N386" s="4" t="s">
        <v>73</v>
      </c>
      <c r="O386" s="8"/>
      <c r="P386" s="84">
        <f t="shared" ca="1" si="42"/>
        <v>18435</v>
      </c>
      <c r="Q386" s="7">
        <v>0</v>
      </c>
      <c r="R386" s="59"/>
    </row>
    <row r="387" spans="1:18">
      <c r="A387" s="58" t="str">
        <f t="shared" si="37"/>
        <v>西南区陕西省庆阳所</v>
      </c>
      <c r="B387" s="58" t="str">
        <f t="shared" si="38"/>
        <v>标箱组庆阳所</v>
      </c>
      <c r="C387" s="4">
        <v>347</v>
      </c>
      <c r="D387" s="4" t="s">
        <v>9</v>
      </c>
      <c r="E387" s="4" t="str">
        <f t="shared" si="39"/>
        <v>西南区</v>
      </c>
      <c r="F387" s="4" t="s">
        <v>65</v>
      </c>
      <c r="G387" s="4" t="s">
        <v>495</v>
      </c>
      <c r="H387" s="4" t="s">
        <v>499</v>
      </c>
      <c r="I387" s="83">
        <v>227.87</v>
      </c>
      <c r="J387" s="76">
        <f t="shared" ca="1" si="41"/>
        <v>4.9938855747778871E-2</v>
      </c>
      <c r="K387" s="4" t="str">
        <f t="shared" si="40"/>
        <v>是</v>
      </c>
      <c r="L387" s="4" t="s">
        <v>12</v>
      </c>
      <c r="M387" s="4"/>
      <c r="N387" s="4" t="s">
        <v>73</v>
      </c>
      <c r="O387" s="8"/>
      <c r="P387" s="84">
        <f t="shared" ca="1" si="42"/>
        <v>25493</v>
      </c>
      <c r="Q387" s="7">
        <v>0</v>
      </c>
      <c r="R387" s="59"/>
    </row>
    <row r="388" spans="1:18">
      <c r="A388" s="58" t="str">
        <f t="shared" ref="A388:A456" si="43">E388&amp;F388&amp;H388</f>
        <v>西南区陕西省延安所</v>
      </c>
      <c r="B388" s="58" t="str">
        <f t="shared" si="38"/>
        <v>标箱组延安所</v>
      </c>
      <c r="C388" s="4">
        <v>348</v>
      </c>
      <c r="D388" s="4" t="s">
        <v>9</v>
      </c>
      <c r="E388" s="4" t="str">
        <f t="shared" si="39"/>
        <v>西南区</v>
      </c>
      <c r="F388" s="4" t="s">
        <v>65</v>
      </c>
      <c r="G388" s="4" t="s">
        <v>495</v>
      </c>
      <c r="H388" s="4" t="s">
        <v>502</v>
      </c>
      <c r="I388" s="83">
        <v>226.75</v>
      </c>
      <c r="J388" s="76">
        <f t="shared" ca="1" si="41"/>
        <v>4.9693402118790794E-2</v>
      </c>
      <c r="K388" s="4" t="str">
        <f t="shared" si="40"/>
        <v>是</v>
      </c>
      <c r="L388" s="4" t="s">
        <v>12</v>
      </c>
      <c r="M388" s="4"/>
      <c r="N388" s="4" t="s">
        <v>73</v>
      </c>
      <c r="O388" s="8"/>
      <c r="P388" s="84">
        <f t="shared" ca="1" si="42"/>
        <v>25368</v>
      </c>
      <c r="Q388" s="7">
        <v>0</v>
      </c>
      <c r="R388" s="59"/>
    </row>
    <row r="389" spans="1:18">
      <c r="A389" s="58" t="str">
        <f t="shared" si="43"/>
        <v>西南区陕西省榆林所</v>
      </c>
      <c r="B389" s="58" t="str">
        <f t="shared" si="38"/>
        <v>标箱组榆林所</v>
      </c>
      <c r="C389" s="4">
        <v>349</v>
      </c>
      <c r="D389" s="4" t="s">
        <v>9</v>
      </c>
      <c r="E389" s="4" t="str">
        <f t="shared" si="39"/>
        <v>西南区</v>
      </c>
      <c r="F389" s="4" t="s">
        <v>65</v>
      </c>
      <c r="G389" s="4" t="s">
        <v>495</v>
      </c>
      <c r="H389" s="4" t="s">
        <v>503</v>
      </c>
      <c r="I389" s="83">
        <v>361.58</v>
      </c>
      <c r="J389" s="76">
        <f t="shared" ca="1" si="41"/>
        <v>7.9242074258488976E-2</v>
      </c>
      <c r="K389" s="4" t="str">
        <f t="shared" si="40"/>
        <v>是</v>
      </c>
      <c r="L389" s="4" t="s">
        <v>12</v>
      </c>
      <c r="M389" s="4"/>
      <c r="N389" s="4" t="s">
        <v>73</v>
      </c>
      <c r="O389" s="8"/>
      <c r="P389" s="84">
        <f t="shared" ca="1" si="42"/>
        <v>40452</v>
      </c>
      <c r="Q389" s="7">
        <v>0</v>
      </c>
      <c r="R389" s="59"/>
    </row>
    <row r="390" spans="1:18">
      <c r="A390" s="58" t="str">
        <f t="shared" si="43"/>
        <v>西南区陕西省渭南所</v>
      </c>
      <c r="B390" s="58" t="str">
        <f t="shared" si="38"/>
        <v>标箱组渭南所</v>
      </c>
      <c r="C390" s="4">
        <v>350</v>
      </c>
      <c r="D390" s="4" t="s">
        <v>9</v>
      </c>
      <c r="E390" s="4" t="str">
        <f t="shared" si="39"/>
        <v>西南区</v>
      </c>
      <c r="F390" s="4" t="s">
        <v>65</v>
      </c>
      <c r="G390" s="4" t="s">
        <v>495</v>
      </c>
      <c r="H390" s="4" t="s">
        <v>500</v>
      </c>
      <c r="I390" s="83">
        <v>264.61</v>
      </c>
      <c r="J390" s="76">
        <f t="shared" ca="1" si="41"/>
        <v>5.7990611398691216E-2</v>
      </c>
      <c r="K390" s="4" t="str">
        <f t="shared" si="40"/>
        <v>是</v>
      </c>
      <c r="L390" s="4" t="s">
        <v>12</v>
      </c>
      <c r="M390" s="4"/>
      <c r="N390" s="4" t="s">
        <v>73</v>
      </c>
      <c r="O390" s="8"/>
      <c r="P390" s="84">
        <f t="shared" ca="1" si="42"/>
        <v>29603</v>
      </c>
      <c r="Q390" s="7">
        <v>0</v>
      </c>
      <c r="R390" s="59"/>
    </row>
    <row r="391" spans="1:18">
      <c r="A391" s="58" t="str">
        <f t="shared" si="43"/>
        <v>西南区陕西省商洛所</v>
      </c>
      <c r="B391" s="58" t="str">
        <f t="shared" si="38"/>
        <v>标箱组商洛所</v>
      </c>
      <c r="C391" s="4">
        <v>351</v>
      </c>
      <c r="D391" s="4" t="s">
        <v>9</v>
      </c>
      <c r="E391" s="4" t="str">
        <f t="shared" si="39"/>
        <v>西南区</v>
      </c>
      <c r="F391" s="4" t="s">
        <v>65</v>
      </c>
      <c r="G391" s="4" t="s">
        <v>487</v>
      </c>
      <c r="H391" s="4" t="s">
        <v>491</v>
      </c>
      <c r="I391" s="83">
        <v>204.1</v>
      </c>
      <c r="J391" s="76">
        <f t="shared" ca="1" si="41"/>
        <v>4.4729540782558773E-2</v>
      </c>
      <c r="K391" s="4" t="str">
        <f t="shared" si="40"/>
        <v>是</v>
      </c>
      <c r="L391" s="4" t="s">
        <v>12</v>
      </c>
      <c r="M391" s="4"/>
      <c r="N391" s="4" t="s">
        <v>73</v>
      </c>
      <c r="O391" s="8"/>
      <c r="P391" s="84">
        <f t="shared" ca="1" si="42"/>
        <v>22834</v>
      </c>
      <c r="Q391" s="7">
        <v>0</v>
      </c>
      <c r="R391" s="59"/>
    </row>
    <row r="392" spans="1:18">
      <c r="A392" s="58" t="str">
        <f t="shared" si="43"/>
        <v>西南区陕西省安康所</v>
      </c>
      <c r="B392" s="58" t="str">
        <f t="shared" si="38"/>
        <v>标箱组安康所</v>
      </c>
      <c r="C392" s="4">
        <v>352</v>
      </c>
      <c r="D392" s="4" t="s">
        <v>9</v>
      </c>
      <c r="E392" s="4" t="str">
        <f t="shared" si="39"/>
        <v>西南区</v>
      </c>
      <c r="F392" s="4" t="s">
        <v>65</v>
      </c>
      <c r="G392" s="4" t="s">
        <v>487</v>
      </c>
      <c r="H392" s="4" t="s">
        <v>488</v>
      </c>
      <c r="I392" s="83">
        <v>247.15</v>
      </c>
      <c r="J392" s="76">
        <f t="shared" ca="1" si="41"/>
        <v>5.4164164646787853E-2</v>
      </c>
      <c r="K392" s="4" t="str">
        <f t="shared" si="40"/>
        <v>是</v>
      </c>
      <c r="L392" s="4" t="s">
        <v>12</v>
      </c>
      <c r="M392" s="4"/>
      <c r="N392" s="4" t="s">
        <v>73</v>
      </c>
      <c r="O392" s="8"/>
      <c r="P392" s="84">
        <f t="shared" ca="1" si="42"/>
        <v>27650</v>
      </c>
      <c r="Q392" s="7">
        <v>0</v>
      </c>
      <c r="R392" s="59"/>
    </row>
    <row r="393" spans="1:18">
      <c r="A393" s="58" t="str">
        <f t="shared" si="43"/>
        <v>西南区陕西省宝鸡所</v>
      </c>
      <c r="B393" s="58" t="str">
        <f t="shared" si="38"/>
        <v>标箱组宝鸡所</v>
      </c>
      <c r="C393" s="4">
        <v>353</v>
      </c>
      <c r="D393" s="4" t="s">
        <v>9</v>
      </c>
      <c r="E393" s="4" t="str">
        <f t="shared" si="39"/>
        <v>西南区</v>
      </c>
      <c r="F393" s="4" t="s">
        <v>65</v>
      </c>
      <c r="G393" s="4" t="s">
        <v>487</v>
      </c>
      <c r="H393" s="4" t="s">
        <v>489</v>
      </c>
      <c r="I393" s="83">
        <v>326.48</v>
      </c>
      <c r="J393" s="76">
        <f t="shared" ca="1" si="41"/>
        <v>7.1549732850023459E-2</v>
      </c>
      <c r="K393" s="4" t="str">
        <f t="shared" si="40"/>
        <v>是</v>
      </c>
      <c r="L393" s="4" t="s">
        <v>12</v>
      </c>
      <c r="M393" s="4"/>
      <c r="N393" s="4" t="s">
        <v>73</v>
      </c>
      <c r="O393" s="8"/>
      <c r="P393" s="84">
        <f t="shared" ca="1" si="42"/>
        <v>36525</v>
      </c>
      <c r="Q393" s="7">
        <v>0</v>
      </c>
      <c r="R393" s="59"/>
    </row>
    <row r="394" spans="1:18">
      <c r="A394" s="58" t="str">
        <f t="shared" si="43"/>
        <v>西南区陕西省汉中所</v>
      </c>
      <c r="B394" s="58" t="str">
        <f t="shared" ref="B394:B456" si="44">IF(N394="省区总监",D394&amp;F394,D394&amp;H394)</f>
        <v>标箱组汉中所</v>
      </c>
      <c r="C394" s="4">
        <v>354</v>
      </c>
      <c r="D394" s="4" t="s">
        <v>9</v>
      </c>
      <c r="E394" s="4" t="str">
        <f t="shared" si="39"/>
        <v>西南区</v>
      </c>
      <c r="F394" s="4" t="s">
        <v>65</v>
      </c>
      <c r="G394" s="4" t="s">
        <v>487</v>
      </c>
      <c r="H394" s="4" t="s">
        <v>490</v>
      </c>
      <c r="I394" s="83">
        <v>318</v>
      </c>
      <c r="J394" s="76">
        <f t="shared" ca="1" si="41"/>
        <v>6.9691298230542334E-2</v>
      </c>
      <c r="K394" s="4" t="str">
        <f t="shared" si="40"/>
        <v>是</v>
      </c>
      <c r="L394" s="4" t="s">
        <v>12</v>
      </c>
      <c r="M394" s="4"/>
      <c r="N394" s="4" t="s">
        <v>73</v>
      </c>
      <c r="O394" s="8"/>
      <c r="P394" s="84">
        <f t="shared" ca="1" si="42"/>
        <v>35576</v>
      </c>
      <c r="Q394" s="7">
        <v>0</v>
      </c>
      <c r="R394" s="59"/>
    </row>
    <row r="395" spans="1:18">
      <c r="A395" s="58" t="str">
        <f t="shared" si="43"/>
        <v>西南区陕西省西安北所</v>
      </c>
      <c r="B395" s="58" t="str">
        <f t="shared" si="44"/>
        <v>标箱组西安北所</v>
      </c>
      <c r="C395" s="4">
        <v>355</v>
      </c>
      <c r="D395" s="4" t="s">
        <v>9</v>
      </c>
      <c r="E395" s="4" t="str">
        <f t="shared" si="39"/>
        <v>西南区</v>
      </c>
      <c r="F395" s="4" t="s">
        <v>65</v>
      </c>
      <c r="G395" s="4" t="s">
        <v>487</v>
      </c>
      <c r="H395" s="4" t="s">
        <v>492</v>
      </c>
      <c r="I395" s="83">
        <v>488.86</v>
      </c>
      <c r="J395" s="76">
        <f t="shared" ca="1" si="41"/>
        <v>0.10713612595277648</v>
      </c>
      <c r="K395" s="4" t="str">
        <f t="shared" si="40"/>
        <v>是</v>
      </c>
      <c r="L395" s="4" t="s">
        <v>12</v>
      </c>
      <c r="M395" s="4"/>
      <c r="N395" s="4" t="s">
        <v>73</v>
      </c>
      <c r="O395" s="8"/>
      <c r="P395" s="84">
        <f t="shared" ca="1" si="42"/>
        <v>54691</v>
      </c>
      <c r="Q395" s="7">
        <v>0</v>
      </c>
      <c r="R395" s="59"/>
    </row>
    <row r="396" spans="1:18">
      <c r="A396" s="58" t="str">
        <f t="shared" si="43"/>
        <v>西南区陕西省西安南所</v>
      </c>
      <c r="B396" s="58" t="str">
        <f t="shared" si="44"/>
        <v>标箱组西安南所</v>
      </c>
      <c r="C396" s="4">
        <v>356</v>
      </c>
      <c r="D396" s="4" t="s">
        <v>9</v>
      </c>
      <c r="E396" s="4" t="str">
        <f t="shared" si="39"/>
        <v>西南区</v>
      </c>
      <c r="F396" s="4" t="s">
        <v>65</v>
      </c>
      <c r="G396" s="4" t="s">
        <v>487</v>
      </c>
      <c r="H396" s="4" t="s">
        <v>493</v>
      </c>
      <c r="I396" s="83">
        <v>452.21</v>
      </c>
      <c r="J396" s="76">
        <f t="shared" ca="1" si="41"/>
        <v>9.9104094254193531E-2</v>
      </c>
      <c r="K396" s="4" t="str">
        <f t="shared" si="40"/>
        <v>是</v>
      </c>
      <c r="L396" s="4" t="s">
        <v>12</v>
      </c>
      <c r="M396" s="4"/>
      <c r="N396" s="4" t="s">
        <v>73</v>
      </c>
      <c r="O396" s="8"/>
      <c r="P396" s="84">
        <f t="shared" ca="1" si="42"/>
        <v>50591</v>
      </c>
      <c r="Q396" s="7">
        <v>0</v>
      </c>
      <c r="R396" s="59"/>
    </row>
    <row r="397" spans="1:18">
      <c r="A397" s="58" t="str">
        <f t="shared" si="43"/>
        <v>西南区陕西省长安所</v>
      </c>
      <c r="B397" s="58" t="str">
        <f t="shared" si="44"/>
        <v>标箱组长安所</v>
      </c>
      <c r="C397" s="4">
        <v>357</v>
      </c>
      <c r="D397" s="4" t="s">
        <v>9</v>
      </c>
      <c r="E397" s="4" t="str">
        <f t="shared" si="39"/>
        <v>西南区</v>
      </c>
      <c r="F397" s="4" t="s">
        <v>65</v>
      </c>
      <c r="G397" s="4" t="s">
        <v>487</v>
      </c>
      <c r="H397" s="4" t="s">
        <v>494</v>
      </c>
      <c r="I397" s="83">
        <v>358.54</v>
      </c>
      <c r="J397" s="76">
        <f t="shared" ca="1" si="41"/>
        <v>7.8575842979807062E-2</v>
      </c>
      <c r="K397" s="4" t="str">
        <f t="shared" si="40"/>
        <v>是</v>
      </c>
      <c r="L397" s="4" t="s">
        <v>12</v>
      </c>
      <c r="M397" s="4"/>
      <c r="N397" s="4" t="s">
        <v>73</v>
      </c>
      <c r="O397" s="8"/>
      <c r="P397" s="84">
        <f t="shared" ca="1" si="42"/>
        <v>40111</v>
      </c>
      <c r="Q397" s="7">
        <v>0</v>
      </c>
      <c r="R397" s="59"/>
    </row>
    <row r="398" spans="1:18">
      <c r="A398" s="58" t="str">
        <f t="shared" si="43"/>
        <v>西南区云南省临沧所</v>
      </c>
      <c r="B398" s="58" t="str">
        <f t="shared" si="44"/>
        <v>标箱组临沧所</v>
      </c>
      <c r="C398" s="4">
        <v>358</v>
      </c>
      <c r="D398" s="4" t="s">
        <v>9</v>
      </c>
      <c r="E398" s="4" t="str">
        <f t="shared" si="39"/>
        <v>西南区</v>
      </c>
      <c r="F398" s="4" t="s">
        <v>63</v>
      </c>
      <c r="G398" s="4" t="s">
        <v>554</v>
      </c>
      <c r="H398" s="4" t="s">
        <v>124</v>
      </c>
      <c r="I398" s="83">
        <v>224</v>
      </c>
      <c r="J398" s="76">
        <f t="shared" ca="1" si="41"/>
        <v>4.7414130680964277E-2</v>
      </c>
      <c r="K398" s="4" t="str">
        <f t="shared" si="40"/>
        <v>是</v>
      </c>
      <c r="L398" s="4" t="s">
        <v>125</v>
      </c>
      <c r="M398" s="4" t="s">
        <v>28</v>
      </c>
      <c r="N398" s="4" t="s">
        <v>73</v>
      </c>
      <c r="O398" s="8">
        <v>30000</v>
      </c>
      <c r="P398" s="84">
        <f t="shared" ca="1" si="42"/>
        <v>25060</v>
      </c>
      <c r="Q398" s="7">
        <v>0</v>
      </c>
      <c r="R398" s="59"/>
    </row>
    <row r="399" spans="1:18">
      <c r="A399" s="58" t="str">
        <f t="shared" si="43"/>
        <v>西南区云南省丽江所</v>
      </c>
      <c r="B399" s="58" t="str">
        <f t="shared" si="44"/>
        <v>标箱组丽江所</v>
      </c>
      <c r="C399" s="4">
        <v>359</v>
      </c>
      <c r="D399" s="4" t="s">
        <v>9</v>
      </c>
      <c r="E399" s="4" t="str">
        <f t="shared" si="39"/>
        <v>西南区</v>
      </c>
      <c r="F399" s="4" t="s">
        <v>63</v>
      </c>
      <c r="G399" s="4" t="s">
        <v>554</v>
      </c>
      <c r="H399" s="4" t="s">
        <v>561</v>
      </c>
      <c r="I399" s="83">
        <v>162.91</v>
      </c>
      <c r="J399" s="76">
        <f t="shared" ca="1" si="41"/>
        <v>3.4483196559088797E-2</v>
      </c>
      <c r="K399" s="4" t="str">
        <f t="shared" si="40"/>
        <v>是</v>
      </c>
      <c r="L399" s="4" t="s">
        <v>12</v>
      </c>
      <c r="M399" s="4"/>
      <c r="N399" s="4" t="s">
        <v>73</v>
      </c>
      <c r="O399" s="8"/>
      <c r="P399" s="84">
        <f t="shared" ca="1" si="42"/>
        <v>18225</v>
      </c>
      <c r="Q399" s="7">
        <v>0</v>
      </c>
      <c r="R399" s="59"/>
    </row>
    <row r="400" spans="1:18">
      <c r="A400" s="58" t="str">
        <f t="shared" si="43"/>
        <v>西南区云南省保山所</v>
      </c>
      <c r="B400" s="58" t="str">
        <f t="shared" si="44"/>
        <v>标箱组保山所</v>
      </c>
      <c r="C400" s="4">
        <v>360</v>
      </c>
      <c r="D400" s="4" t="s">
        <v>9</v>
      </c>
      <c r="E400" s="4" t="str">
        <f t="shared" si="39"/>
        <v>西南区</v>
      </c>
      <c r="F400" s="4" t="s">
        <v>63</v>
      </c>
      <c r="G400" s="4" t="s">
        <v>554</v>
      </c>
      <c r="H400" s="4" t="s">
        <v>555</v>
      </c>
      <c r="I400" s="83">
        <v>294.3</v>
      </c>
      <c r="J400" s="76">
        <f t="shared" ca="1" si="41"/>
        <v>6.2294547586641907E-2</v>
      </c>
      <c r="K400" s="4" t="str">
        <f t="shared" si="40"/>
        <v>是</v>
      </c>
      <c r="L400" s="4" t="s">
        <v>12</v>
      </c>
      <c r="M400" s="4"/>
      <c r="N400" s="4" t="s">
        <v>73</v>
      </c>
      <c r="O400" s="8"/>
      <c r="P400" s="84">
        <f t="shared" ca="1" si="42"/>
        <v>32925</v>
      </c>
      <c r="Q400" s="7">
        <v>0</v>
      </c>
      <c r="R400" s="59"/>
    </row>
    <row r="401" spans="1:18">
      <c r="A401" s="58" t="str">
        <f t="shared" si="43"/>
        <v>西南区云南省大理所</v>
      </c>
      <c r="B401" s="58" t="str">
        <f t="shared" si="44"/>
        <v>标箱组大理所</v>
      </c>
      <c r="C401" s="4">
        <v>361</v>
      </c>
      <c r="D401" s="4" t="s">
        <v>9</v>
      </c>
      <c r="E401" s="4" t="str">
        <f t="shared" si="39"/>
        <v>西南区</v>
      </c>
      <c r="F401" s="4" t="s">
        <v>63</v>
      </c>
      <c r="G401" s="4" t="s">
        <v>554</v>
      </c>
      <c r="H401" s="4" t="s">
        <v>556</v>
      </c>
      <c r="I401" s="83">
        <v>601.71</v>
      </c>
      <c r="J401" s="76">
        <f t="shared" ca="1" si="41"/>
        <v>0.12736409183947775</v>
      </c>
      <c r="K401" s="4" t="str">
        <f t="shared" si="40"/>
        <v>是</v>
      </c>
      <c r="L401" s="4" t="s">
        <v>12</v>
      </c>
      <c r="M401" s="4"/>
      <c r="N401" s="4" t="s">
        <v>73</v>
      </c>
      <c r="O401" s="8"/>
      <c r="P401" s="84">
        <f t="shared" ca="1" si="42"/>
        <v>67316</v>
      </c>
      <c r="Q401" s="7">
        <v>0</v>
      </c>
      <c r="R401" s="59"/>
    </row>
    <row r="402" spans="1:18">
      <c r="A402" s="58" t="str">
        <f t="shared" si="43"/>
        <v>西南区云南省德宏所</v>
      </c>
      <c r="B402" s="58" t="str">
        <f t="shared" si="44"/>
        <v>标箱组德宏所</v>
      </c>
      <c r="C402" s="4">
        <v>362</v>
      </c>
      <c r="D402" s="4" t="s">
        <v>9</v>
      </c>
      <c r="E402" s="4" t="str">
        <f t="shared" si="39"/>
        <v>西南区</v>
      </c>
      <c r="F402" s="4" t="s">
        <v>63</v>
      </c>
      <c r="G402" s="4" t="s">
        <v>554</v>
      </c>
      <c r="H402" s="4" t="s">
        <v>557</v>
      </c>
      <c r="I402" s="83">
        <v>132.09</v>
      </c>
      <c r="J402" s="76">
        <f t="shared" ca="1" si="41"/>
        <v>2.7959520185931123E-2</v>
      </c>
      <c r="K402" s="4" t="str">
        <f t="shared" si="40"/>
        <v>是</v>
      </c>
      <c r="L402" s="4" t="s">
        <v>12</v>
      </c>
      <c r="M402" s="4"/>
      <c r="N402" s="4" t="s">
        <v>73</v>
      </c>
      <c r="O402" s="8"/>
      <c r="P402" s="84">
        <f t="shared" ca="1" si="42"/>
        <v>14778</v>
      </c>
      <c r="Q402" s="7">
        <v>0</v>
      </c>
      <c r="R402" s="59"/>
    </row>
    <row r="403" spans="1:18">
      <c r="A403" s="58" t="str">
        <f t="shared" si="43"/>
        <v>西南区云南省思茅所</v>
      </c>
      <c r="B403" s="58" t="str">
        <f t="shared" si="44"/>
        <v>标箱组思茅所</v>
      </c>
      <c r="C403" s="4">
        <v>363</v>
      </c>
      <c r="D403" s="4" t="s">
        <v>9</v>
      </c>
      <c r="E403" s="4" t="str">
        <f t="shared" si="39"/>
        <v>西南区</v>
      </c>
      <c r="F403" s="4" t="s">
        <v>63</v>
      </c>
      <c r="G403" s="4" t="s">
        <v>554</v>
      </c>
      <c r="H403" s="4" t="s">
        <v>563</v>
      </c>
      <c r="I403" s="83">
        <v>237</v>
      </c>
      <c r="J403" s="76">
        <f t="shared" ca="1" si="41"/>
        <v>5.0165843622270237E-2</v>
      </c>
      <c r="K403" s="4" t="str">
        <f t="shared" si="40"/>
        <v>是</v>
      </c>
      <c r="L403" s="4" t="s">
        <v>12</v>
      </c>
      <c r="M403" s="4"/>
      <c r="N403" s="4" t="s">
        <v>73</v>
      </c>
      <c r="O403" s="8"/>
      <c r="P403" s="84">
        <f t="shared" ca="1" si="42"/>
        <v>26514</v>
      </c>
      <c r="Q403" s="7">
        <v>0</v>
      </c>
      <c r="R403" s="59"/>
    </row>
    <row r="404" spans="1:18">
      <c r="A404" s="58" t="str">
        <f t="shared" si="43"/>
        <v>西南区云南省文山所</v>
      </c>
      <c r="B404" s="58" t="str">
        <f t="shared" si="44"/>
        <v>标箱组文山所</v>
      </c>
      <c r="C404" s="4">
        <v>364</v>
      </c>
      <c r="D404" s="4" t="s">
        <v>9</v>
      </c>
      <c r="E404" s="4" t="str">
        <f t="shared" si="39"/>
        <v>西南区</v>
      </c>
      <c r="F404" s="4" t="s">
        <v>63</v>
      </c>
      <c r="G404" s="4" t="s">
        <v>554</v>
      </c>
      <c r="H404" s="4" t="s">
        <v>564</v>
      </c>
      <c r="I404" s="83">
        <v>345.41</v>
      </c>
      <c r="J404" s="76">
        <f t="shared" ca="1" si="41"/>
        <v>7.3113012850499426E-2</v>
      </c>
      <c r="K404" s="4" t="str">
        <f t="shared" si="40"/>
        <v>是</v>
      </c>
      <c r="L404" s="4" t="s">
        <v>12</v>
      </c>
      <c r="M404" s="4"/>
      <c r="N404" s="4" t="s">
        <v>73</v>
      </c>
      <c r="O404" s="8"/>
      <c r="P404" s="84">
        <f t="shared" ca="1" si="42"/>
        <v>38643</v>
      </c>
      <c r="Q404" s="7">
        <v>0</v>
      </c>
      <c r="R404" s="59"/>
    </row>
    <row r="405" spans="1:18">
      <c r="A405" s="58" t="str">
        <f t="shared" si="43"/>
        <v>西南区云南省昆明北所</v>
      </c>
      <c r="B405" s="58" t="str">
        <f t="shared" si="44"/>
        <v>标箱组昆明北所</v>
      </c>
      <c r="C405" s="4">
        <v>365</v>
      </c>
      <c r="D405" s="4" t="s">
        <v>9</v>
      </c>
      <c r="E405" s="4" t="str">
        <f t="shared" si="39"/>
        <v>西南区</v>
      </c>
      <c r="F405" s="4" t="s">
        <v>63</v>
      </c>
      <c r="G405" s="4" t="s">
        <v>554</v>
      </c>
      <c r="H405" s="4" t="s">
        <v>559</v>
      </c>
      <c r="I405" s="83">
        <v>580.34</v>
      </c>
      <c r="J405" s="76">
        <f t="shared" ca="1" si="41"/>
        <v>0.12284069910442326</v>
      </c>
      <c r="K405" s="4" t="str">
        <f t="shared" si="40"/>
        <v>是</v>
      </c>
      <c r="L405" s="4" t="s">
        <v>12</v>
      </c>
      <c r="M405" s="4"/>
      <c r="N405" s="4" t="s">
        <v>73</v>
      </c>
      <c r="O405" s="8"/>
      <c r="P405" s="84">
        <f t="shared" ca="1" si="42"/>
        <v>64925</v>
      </c>
      <c r="Q405" s="7">
        <v>0</v>
      </c>
      <c r="R405" s="59"/>
    </row>
    <row r="406" spans="1:18">
      <c r="A406" s="58" t="str">
        <f t="shared" si="43"/>
        <v>西南区云南省昆明南所</v>
      </c>
      <c r="B406" s="58" t="str">
        <f t="shared" si="44"/>
        <v>标箱组昆明南所</v>
      </c>
      <c r="C406" s="4">
        <v>366</v>
      </c>
      <c r="D406" s="4" t="s">
        <v>9</v>
      </c>
      <c r="E406" s="4" t="str">
        <f t="shared" si="39"/>
        <v>西南区</v>
      </c>
      <c r="F406" s="4" t="s">
        <v>63</v>
      </c>
      <c r="G406" s="4" t="s">
        <v>554</v>
      </c>
      <c r="H406" s="4" t="s">
        <v>560</v>
      </c>
      <c r="I406" s="83">
        <v>279.66000000000003</v>
      </c>
      <c r="J406" s="76">
        <f t="shared" ca="1" si="41"/>
        <v>5.9195695474278887E-2</v>
      </c>
      <c r="K406" s="4" t="str">
        <f t="shared" si="40"/>
        <v>是</v>
      </c>
      <c r="L406" s="4" t="s">
        <v>125</v>
      </c>
      <c r="M406" s="4" t="s">
        <v>11</v>
      </c>
      <c r="N406" s="4" t="s">
        <v>73</v>
      </c>
      <c r="O406" s="8">
        <v>100000</v>
      </c>
      <c r="P406" s="84">
        <f t="shared" ca="1" si="42"/>
        <v>31287</v>
      </c>
      <c r="Q406" s="7">
        <v>0</v>
      </c>
      <c r="R406" s="59"/>
    </row>
    <row r="407" spans="1:18">
      <c r="A407" s="58" t="str">
        <f t="shared" si="43"/>
        <v>西南区云南省昭通所</v>
      </c>
      <c r="B407" s="58" t="str">
        <f t="shared" si="44"/>
        <v>标箱组昭通所</v>
      </c>
      <c r="C407" s="4">
        <v>367</v>
      </c>
      <c r="D407" s="4" t="s">
        <v>9</v>
      </c>
      <c r="E407" s="4" t="str">
        <f t="shared" si="39"/>
        <v>西南区</v>
      </c>
      <c r="F407" s="4" t="s">
        <v>63</v>
      </c>
      <c r="G407" s="4" t="s">
        <v>554</v>
      </c>
      <c r="H407" s="4" t="s">
        <v>567</v>
      </c>
      <c r="I407" s="83">
        <v>494.9</v>
      </c>
      <c r="J407" s="76">
        <f t="shared" ca="1" si="41"/>
        <v>0.10475559497325544</v>
      </c>
      <c r="K407" s="4" t="str">
        <f t="shared" si="40"/>
        <v>是</v>
      </c>
      <c r="L407" s="4" t="s">
        <v>125</v>
      </c>
      <c r="M407" s="4" t="s">
        <v>11</v>
      </c>
      <c r="N407" s="4" t="s">
        <v>73</v>
      </c>
      <c r="O407" s="8">
        <v>60000</v>
      </c>
      <c r="P407" s="84">
        <f t="shared" ca="1" si="42"/>
        <v>55367</v>
      </c>
      <c r="Q407" s="7">
        <v>0</v>
      </c>
      <c r="R407" s="59"/>
    </row>
    <row r="408" spans="1:18">
      <c r="A408" s="58" t="str">
        <f t="shared" si="43"/>
        <v>西南区云南省曲靖所</v>
      </c>
      <c r="B408" s="58" t="str">
        <f t="shared" si="44"/>
        <v>标箱组曲靖所</v>
      </c>
      <c r="C408" s="4">
        <v>368</v>
      </c>
      <c r="D408" s="4" t="s">
        <v>9</v>
      </c>
      <c r="E408" s="4" t="str">
        <f t="shared" si="39"/>
        <v>西南区</v>
      </c>
      <c r="F408" s="4" t="s">
        <v>63</v>
      </c>
      <c r="G408" s="4" t="s">
        <v>554</v>
      </c>
      <c r="H408" s="4" t="s">
        <v>562</v>
      </c>
      <c r="I408" s="83">
        <v>575.61</v>
      </c>
      <c r="J408" s="76">
        <f t="shared" ca="1" si="41"/>
        <v>0.1218394989342404</v>
      </c>
      <c r="K408" s="4" t="str">
        <f t="shared" si="40"/>
        <v>是</v>
      </c>
      <c r="L408" s="4" t="s">
        <v>125</v>
      </c>
      <c r="M408" s="4" t="s">
        <v>11</v>
      </c>
      <c r="N408" s="4" t="s">
        <v>73</v>
      </c>
      <c r="O408" s="8">
        <v>60000</v>
      </c>
      <c r="P408" s="84">
        <f t="shared" ca="1" si="42"/>
        <v>64396</v>
      </c>
      <c r="Q408" s="7">
        <v>0</v>
      </c>
      <c r="R408" s="59"/>
    </row>
    <row r="409" spans="1:18">
      <c r="A409" s="58" t="str">
        <f t="shared" si="43"/>
        <v>西南区云南省玉溪所</v>
      </c>
      <c r="B409" s="58" t="str">
        <f t="shared" si="44"/>
        <v>标箱组玉溪所</v>
      </c>
      <c r="C409" s="4">
        <v>369</v>
      </c>
      <c r="D409" s="4" t="s">
        <v>9</v>
      </c>
      <c r="E409" s="4" t="str">
        <f t="shared" si="39"/>
        <v>西南区</v>
      </c>
      <c r="F409" s="4" t="s">
        <v>63</v>
      </c>
      <c r="G409" s="4" t="s">
        <v>554</v>
      </c>
      <c r="H409" s="4" t="s">
        <v>566</v>
      </c>
      <c r="I409" s="83">
        <v>224.02</v>
      </c>
      <c r="J409" s="76">
        <f t="shared" ca="1" si="41"/>
        <v>4.7418364085489363E-2</v>
      </c>
      <c r="K409" s="4" t="str">
        <f t="shared" si="40"/>
        <v>是</v>
      </c>
      <c r="L409" s="4" t="s">
        <v>12</v>
      </c>
      <c r="M409" s="4"/>
      <c r="N409" s="4" t="s">
        <v>73</v>
      </c>
      <c r="O409" s="8"/>
      <c r="P409" s="84">
        <f t="shared" ca="1" si="42"/>
        <v>25062</v>
      </c>
      <c r="Q409" s="7">
        <v>0</v>
      </c>
      <c r="R409" s="59"/>
    </row>
    <row r="410" spans="1:18">
      <c r="A410" s="58" t="str">
        <f t="shared" si="43"/>
        <v>西南区云南省红河所</v>
      </c>
      <c r="B410" s="58" t="str">
        <f t="shared" si="44"/>
        <v>标箱组红河所</v>
      </c>
      <c r="C410" s="4">
        <v>370</v>
      </c>
      <c r="D410" s="4" t="s">
        <v>9</v>
      </c>
      <c r="E410" s="4" t="str">
        <f t="shared" si="39"/>
        <v>西南区</v>
      </c>
      <c r="F410" s="4" t="s">
        <v>63</v>
      </c>
      <c r="G410" s="4" t="s">
        <v>554</v>
      </c>
      <c r="H410" s="4" t="s">
        <v>558</v>
      </c>
      <c r="I410" s="83">
        <v>470.28</v>
      </c>
      <c r="J410" s="76">
        <f t="shared" ca="1" si="41"/>
        <v>9.9544274002874453E-2</v>
      </c>
      <c r="K410" s="4" t="str">
        <f t="shared" si="40"/>
        <v>是</v>
      </c>
      <c r="L410" s="4" t="s">
        <v>12</v>
      </c>
      <c r="M410" s="4"/>
      <c r="N410" s="4" t="s">
        <v>73</v>
      </c>
      <c r="O410" s="8"/>
      <c r="P410" s="84">
        <f t="shared" ca="1" si="42"/>
        <v>52612</v>
      </c>
      <c r="Q410" s="7">
        <v>0</v>
      </c>
      <c r="R410" s="59"/>
    </row>
    <row r="411" spans="1:18">
      <c r="A411" s="58" t="str">
        <f t="shared" si="43"/>
        <v>西南区云南省西双版纳所</v>
      </c>
      <c r="B411" s="58" t="str">
        <f t="shared" si="44"/>
        <v>标箱组西双版纳所</v>
      </c>
      <c r="C411" s="4">
        <v>371</v>
      </c>
      <c r="D411" s="4" t="s">
        <v>9</v>
      </c>
      <c r="E411" s="4" t="str">
        <f t="shared" si="39"/>
        <v>西南区</v>
      </c>
      <c r="F411" s="4" t="s">
        <v>63</v>
      </c>
      <c r="G411" s="4" t="s">
        <v>554</v>
      </c>
      <c r="H411" s="4" t="s">
        <v>565</v>
      </c>
      <c r="I411" s="83">
        <v>102.1</v>
      </c>
      <c r="J411" s="76">
        <f t="shared" ca="1" si="41"/>
        <v>2.1611530100564519E-2</v>
      </c>
      <c r="K411" s="4" t="str">
        <f t="shared" si="40"/>
        <v>是</v>
      </c>
      <c r="L411" s="4" t="s">
        <v>12</v>
      </c>
      <c r="M411" s="4"/>
      <c r="N411" s="4" t="s">
        <v>73</v>
      </c>
      <c r="O411" s="8"/>
      <c r="P411" s="84">
        <f t="shared" ca="1" si="42"/>
        <v>11422</v>
      </c>
      <c r="Q411" s="7">
        <v>0</v>
      </c>
      <c r="R411" s="59"/>
    </row>
    <row r="412" spans="1:18">
      <c r="A412" s="58" t="str">
        <f t="shared" si="43"/>
        <v>西南区四川省乐山所</v>
      </c>
      <c r="B412" s="58" t="str">
        <f t="shared" si="44"/>
        <v>标箱组乐山所</v>
      </c>
      <c r="C412" s="4">
        <v>372</v>
      </c>
      <c r="D412" s="4" t="s">
        <v>9</v>
      </c>
      <c r="E412" s="4" t="str">
        <f t="shared" si="39"/>
        <v>西南区</v>
      </c>
      <c r="F412" s="4" t="s">
        <v>61</v>
      </c>
      <c r="G412" s="4" t="s">
        <v>536</v>
      </c>
      <c r="H412" s="4" t="s">
        <v>538</v>
      </c>
      <c r="I412" s="83">
        <v>315.29000000000002</v>
      </c>
      <c r="J412" s="76">
        <f t="shared" ca="1" si="41"/>
        <v>4.0173235851003922E-2</v>
      </c>
      <c r="K412" s="4" t="str">
        <f t="shared" si="40"/>
        <v>是</v>
      </c>
      <c r="L412" s="4" t="s">
        <v>12</v>
      </c>
      <c r="M412" s="4"/>
      <c r="N412" s="4" t="s">
        <v>73</v>
      </c>
      <c r="O412" s="8"/>
      <c r="P412" s="84">
        <f t="shared" ca="1" si="42"/>
        <v>35273</v>
      </c>
      <c r="Q412" s="7">
        <v>0</v>
      </c>
      <c r="R412" s="59"/>
    </row>
    <row r="413" spans="1:18">
      <c r="A413" s="58" t="str">
        <f t="shared" si="43"/>
        <v>西南区四川省凉山所</v>
      </c>
      <c r="B413" s="58" t="str">
        <f t="shared" si="44"/>
        <v>标箱组凉山所</v>
      </c>
      <c r="C413" s="4">
        <v>373</v>
      </c>
      <c r="D413" s="4" t="s">
        <v>9</v>
      </c>
      <c r="E413" s="4" t="str">
        <f t="shared" si="39"/>
        <v>西南区</v>
      </c>
      <c r="F413" s="4" t="s">
        <v>61</v>
      </c>
      <c r="G413" s="4" t="s">
        <v>536</v>
      </c>
      <c r="H413" s="4" t="s">
        <v>539</v>
      </c>
      <c r="I413" s="83">
        <v>610.71</v>
      </c>
      <c r="J413" s="76">
        <f t="shared" ca="1" si="41"/>
        <v>7.7814700328480466E-2</v>
      </c>
      <c r="K413" s="4" t="str">
        <f t="shared" si="40"/>
        <v>是</v>
      </c>
      <c r="L413" s="4" t="s">
        <v>12</v>
      </c>
      <c r="M413" s="4"/>
      <c r="N413" s="4" t="s">
        <v>73</v>
      </c>
      <c r="O413" s="8"/>
      <c r="P413" s="84">
        <f t="shared" ca="1" si="42"/>
        <v>68323</v>
      </c>
      <c r="Q413" s="7">
        <v>0</v>
      </c>
      <c r="R413" s="59"/>
    </row>
    <row r="414" spans="1:18">
      <c r="A414" s="58" t="str">
        <f t="shared" si="43"/>
        <v>西南区四川省眉山所</v>
      </c>
      <c r="B414" s="58" t="str">
        <f t="shared" si="44"/>
        <v>标箱组眉山所</v>
      </c>
      <c r="C414" s="4">
        <v>374</v>
      </c>
      <c r="D414" s="4" t="s">
        <v>9</v>
      </c>
      <c r="E414" s="4" t="str">
        <f t="shared" si="39"/>
        <v>西南区</v>
      </c>
      <c r="F414" s="4" t="s">
        <v>61</v>
      </c>
      <c r="G414" s="4" t="s">
        <v>536</v>
      </c>
      <c r="H414" s="4" t="s">
        <v>540</v>
      </c>
      <c r="I414" s="83">
        <v>296.10000000000002</v>
      </c>
      <c r="J414" s="76">
        <f t="shared" ca="1" si="41"/>
        <v>3.7728107886334045E-2</v>
      </c>
      <c r="K414" s="4" t="str">
        <f t="shared" si="40"/>
        <v>是</v>
      </c>
      <c r="L414" s="4" t="s">
        <v>12</v>
      </c>
      <c r="M414" s="4"/>
      <c r="N414" s="4" t="s">
        <v>73</v>
      </c>
      <c r="O414" s="8"/>
      <c r="P414" s="84">
        <f t="shared" ca="1" si="42"/>
        <v>33126</v>
      </c>
      <c r="Q414" s="7">
        <v>0</v>
      </c>
      <c r="R414" s="59"/>
    </row>
    <row r="415" spans="1:18">
      <c r="A415" s="58" t="str">
        <f t="shared" si="43"/>
        <v>西南区四川省资阳所</v>
      </c>
      <c r="B415" s="58" t="str">
        <f t="shared" si="44"/>
        <v>标箱组资阳所</v>
      </c>
      <c r="C415" s="4">
        <v>375</v>
      </c>
      <c r="D415" s="4" t="s">
        <v>9</v>
      </c>
      <c r="E415" s="4" t="str">
        <f t="shared" si="39"/>
        <v>西南区</v>
      </c>
      <c r="F415" s="4" t="s">
        <v>61</v>
      </c>
      <c r="G415" s="4" t="s">
        <v>536</v>
      </c>
      <c r="H415" s="4" t="s">
        <v>542</v>
      </c>
      <c r="I415" s="83">
        <v>230.86</v>
      </c>
      <c r="J415" s="76">
        <f t="shared" ca="1" si="41"/>
        <v>2.9415437307122858E-2</v>
      </c>
      <c r="K415" s="4" t="str">
        <f t="shared" si="40"/>
        <v>是</v>
      </c>
      <c r="L415" s="4" t="s">
        <v>12</v>
      </c>
      <c r="M415" s="4"/>
      <c r="N415" s="4" t="s">
        <v>73</v>
      </c>
      <c r="O415" s="8"/>
      <c r="P415" s="84">
        <f t="shared" ca="1" si="42"/>
        <v>25827</v>
      </c>
      <c r="Q415" s="7">
        <v>0</v>
      </c>
      <c r="R415" s="59"/>
    </row>
    <row r="416" spans="1:18">
      <c r="A416" s="58" t="str">
        <f t="shared" si="43"/>
        <v>西南区四川省都江堰所</v>
      </c>
      <c r="B416" s="58" t="str">
        <f t="shared" si="44"/>
        <v>标箱组都江堰所</v>
      </c>
      <c r="C416" s="4">
        <v>376</v>
      </c>
      <c r="D416" s="4" t="s">
        <v>9</v>
      </c>
      <c r="E416" s="4" t="str">
        <f t="shared" si="39"/>
        <v>西南区</v>
      </c>
      <c r="F416" s="4" t="s">
        <v>61</v>
      </c>
      <c r="G416" s="4" t="s">
        <v>536</v>
      </c>
      <c r="H416" s="4" t="s">
        <v>537</v>
      </c>
      <c r="I416" s="83">
        <v>82.3</v>
      </c>
      <c r="J416" s="76">
        <f t="shared" ca="1" si="41"/>
        <v>1.0486400807312704E-2</v>
      </c>
      <c r="K416" s="4" t="str">
        <f t="shared" si="40"/>
        <v>是</v>
      </c>
      <c r="L416" s="4" t="s">
        <v>12</v>
      </c>
      <c r="M416" s="4"/>
      <c r="N416" s="4" t="s">
        <v>73</v>
      </c>
      <c r="O416" s="8"/>
      <c r="P416" s="84">
        <f t="shared" ca="1" si="42"/>
        <v>9207</v>
      </c>
      <c r="Q416" s="7">
        <v>0</v>
      </c>
      <c r="R416" s="59"/>
    </row>
    <row r="417" spans="1:18">
      <c r="A417" s="58" t="str">
        <f t="shared" si="43"/>
        <v>西南区四川省雅安所</v>
      </c>
      <c r="B417" s="58" t="str">
        <f t="shared" si="44"/>
        <v>标箱组雅安所</v>
      </c>
      <c r="C417" s="4">
        <v>377</v>
      </c>
      <c r="D417" s="4" t="s">
        <v>9</v>
      </c>
      <c r="E417" s="4" t="str">
        <f t="shared" si="39"/>
        <v>西南区</v>
      </c>
      <c r="F417" s="4" t="s">
        <v>61</v>
      </c>
      <c r="G417" s="4" t="s">
        <v>536</v>
      </c>
      <c r="H417" s="4" t="s">
        <v>541</v>
      </c>
      <c r="I417" s="83">
        <v>253.6</v>
      </c>
      <c r="J417" s="76">
        <f t="shared" ca="1" si="41"/>
        <v>3.2312894832739997E-2</v>
      </c>
      <c r="K417" s="4" t="str">
        <f t="shared" si="40"/>
        <v>是</v>
      </c>
      <c r="L417" s="4" t="s">
        <v>12</v>
      </c>
      <c r="M417" s="4"/>
      <c r="N417" s="4" t="s">
        <v>73</v>
      </c>
      <c r="O417" s="8"/>
      <c r="P417" s="84">
        <f t="shared" ca="1" si="42"/>
        <v>28371</v>
      </c>
      <c r="Q417" s="7">
        <v>0</v>
      </c>
      <c r="R417" s="59"/>
    </row>
    <row r="418" spans="1:18">
      <c r="A418" s="58" t="str">
        <f t="shared" si="43"/>
        <v>西南区四川省内江所</v>
      </c>
      <c r="B418" s="58" t="str">
        <f t="shared" si="44"/>
        <v>标箱组内江所</v>
      </c>
      <c r="C418" s="4">
        <v>378</v>
      </c>
      <c r="D418" s="4" t="s">
        <v>9</v>
      </c>
      <c r="E418" s="4" t="str">
        <f t="shared" si="39"/>
        <v>西南区</v>
      </c>
      <c r="F418" s="4" t="s">
        <v>61</v>
      </c>
      <c r="G418" s="4" t="s">
        <v>543</v>
      </c>
      <c r="H418" s="4" t="s">
        <v>550</v>
      </c>
      <c r="I418" s="83">
        <v>314.07</v>
      </c>
      <c r="J418" s="76">
        <f t="shared" ca="1" si="41"/>
        <v>4.0017787382171335E-2</v>
      </c>
      <c r="K418" s="4" t="str">
        <f t="shared" si="40"/>
        <v>是</v>
      </c>
      <c r="L418" s="4" t="s">
        <v>12</v>
      </c>
      <c r="M418" s="4"/>
      <c r="N418" s="4" t="s">
        <v>73</v>
      </c>
      <c r="O418" s="8"/>
      <c r="P418" s="84">
        <f t="shared" ca="1" si="42"/>
        <v>35136</v>
      </c>
      <c r="Q418" s="7">
        <v>0</v>
      </c>
      <c r="R418" s="59"/>
    </row>
    <row r="419" spans="1:18">
      <c r="A419" s="58" t="str">
        <f t="shared" si="43"/>
        <v>西南区四川省南充所</v>
      </c>
      <c r="B419" s="58" t="str">
        <f t="shared" si="44"/>
        <v>标箱组南充所</v>
      </c>
      <c r="C419" s="4">
        <v>379</v>
      </c>
      <c r="D419" s="4" t="s">
        <v>9</v>
      </c>
      <c r="E419" s="4" t="str">
        <f t="shared" si="39"/>
        <v>西南区</v>
      </c>
      <c r="F419" s="4" t="s">
        <v>61</v>
      </c>
      <c r="G419" s="4" t="s">
        <v>543</v>
      </c>
      <c r="H419" s="4" t="s">
        <v>549</v>
      </c>
      <c r="I419" s="83">
        <v>241.53</v>
      </c>
      <c r="J419" s="76">
        <f t="shared" ca="1" si="41"/>
        <v>3.0774974325519289E-2</v>
      </c>
      <c r="K419" s="4" t="str">
        <f t="shared" si="40"/>
        <v>是</v>
      </c>
      <c r="L419" s="4" t="s">
        <v>12</v>
      </c>
      <c r="M419" s="4"/>
      <c r="N419" s="4" t="s">
        <v>73</v>
      </c>
      <c r="O419" s="8"/>
      <c r="P419" s="84">
        <f t="shared" ca="1" si="42"/>
        <v>27021</v>
      </c>
      <c r="Q419" s="7">
        <v>0</v>
      </c>
      <c r="R419" s="59"/>
    </row>
    <row r="420" spans="1:18">
      <c r="A420" s="58" t="str">
        <f t="shared" si="43"/>
        <v>西南区四川省南部所</v>
      </c>
      <c r="B420" s="58" t="str">
        <f t="shared" si="44"/>
        <v>标箱组南部所</v>
      </c>
      <c r="C420" s="4">
        <v>380</v>
      </c>
      <c r="D420" s="4" t="s">
        <v>9</v>
      </c>
      <c r="E420" s="4" t="str">
        <f t="shared" si="39"/>
        <v>西南区</v>
      </c>
      <c r="F420" s="4" t="s">
        <v>61</v>
      </c>
      <c r="G420" s="4" t="s">
        <v>543</v>
      </c>
      <c r="H420" s="4" t="s">
        <v>548</v>
      </c>
      <c r="I420" s="83">
        <v>313.37</v>
      </c>
      <c r="J420" s="76">
        <f t="shared" ca="1" si="41"/>
        <v>3.9928595637759204E-2</v>
      </c>
      <c r="K420" s="4" t="str">
        <f t="shared" si="40"/>
        <v>是</v>
      </c>
      <c r="L420" s="4" t="s">
        <v>12</v>
      </c>
      <c r="M420" s="4"/>
      <c r="N420" s="4" t="s">
        <v>73</v>
      </c>
      <c r="O420" s="8"/>
      <c r="P420" s="84">
        <f t="shared" ca="1" si="42"/>
        <v>35058</v>
      </c>
      <c r="Q420" s="7">
        <v>0</v>
      </c>
      <c r="R420" s="59"/>
    </row>
    <row r="421" spans="1:18">
      <c r="A421" s="58" t="str">
        <f t="shared" si="43"/>
        <v>西南区四川省宜宾所</v>
      </c>
      <c r="B421" s="58" t="str">
        <f t="shared" si="44"/>
        <v>标箱组宜宾所</v>
      </c>
      <c r="C421" s="4">
        <v>381</v>
      </c>
      <c r="D421" s="4" t="s">
        <v>9</v>
      </c>
      <c r="E421" s="4" t="str">
        <f t="shared" si="39"/>
        <v>西南区</v>
      </c>
      <c r="F421" s="4" t="s">
        <v>61</v>
      </c>
      <c r="G421" s="4" t="s">
        <v>543</v>
      </c>
      <c r="H421" s="4" t="s">
        <v>552</v>
      </c>
      <c r="I421" s="83">
        <v>224.35</v>
      </c>
      <c r="J421" s="76">
        <f t="shared" ca="1" si="41"/>
        <v>2.8585954084089978E-2</v>
      </c>
      <c r="K421" s="4" t="str">
        <f t="shared" si="40"/>
        <v>是</v>
      </c>
      <c r="L421" s="4" t="s">
        <v>12</v>
      </c>
      <c r="M421" s="4"/>
      <c r="N421" s="4" t="s">
        <v>73</v>
      </c>
      <c r="O421" s="8"/>
      <c r="P421" s="84">
        <f t="shared" ca="1" si="42"/>
        <v>25099</v>
      </c>
      <c r="Q421" s="7">
        <v>0</v>
      </c>
      <c r="R421" s="59"/>
    </row>
    <row r="422" spans="1:18">
      <c r="A422" s="58" t="str">
        <f t="shared" si="43"/>
        <v>西南区四川省巴中所</v>
      </c>
      <c r="B422" s="58" t="str">
        <f t="shared" si="44"/>
        <v>标箱组巴中所</v>
      </c>
      <c r="C422" s="4">
        <v>382</v>
      </c>
      <c r="D422" s="4" t="s">
        <v>9</v>
      </c>
      <c r="E422" s="4" t="str">
        <f t="shared" si="39"/>
        <v>西南区</v>
      </c>
      <c r="F422" s="4" t="s">
        <v>61</v>
      </c>
      <c r="G422" s="4" t="s">
        <v>543</v>
      </c>
      <c r="H422" s="4" t="s">
        <v>544</v>
      </c>
      <c r="I422" s="83">
        <v>265.8</v>
      </c>
      <c r="J422" s="76">
        <f t="shared" ca="1" si="41"/>
        <v>3.3867379521065819E-2</v>
      </c>
      <c r="K422" s="4" t="str">
        <f t="shared" si="40"/>
        <v>是</v>
      </c>
      <c r="L422" s="4" t="s">
        <v>12</v>
      </c>
      <c r="M422" s="4"/>
      <c r="N422" s="4" t="s">
        <v>73</v>
      </c>
      <c r="O422" s="8"/>
      <c r="P422" s="84">
        <f t="shared" ca="1" si="42"/>
        <v>29736</v>
      </c>
      <c r="Q422" s="7">
        <v>0</v>
      </c>
      <c r="R422" s="59"/>
    </row>
    <row r="423" spans="1:18">
      <c r="A423" s="58" t="str">
        <f t="shared" si="43"/>
        <v>西南区四川省广安所</v>
      </c>
      <c r="B423" s="58" t="str">
        <f t="shared" si="44"/>
        <v>标箱组广安所</v>
      </c>
      <c r="C423" s="4">
        <v>383</v>
      </c>
      <c r="D423" s="4" t="s">
        <v>9</v>
      </c>
      <c r="E423" s="4" t="str">
        <f t="shared" si="39"/>
        <v>西南区</v>
      </c>
      <c r="F423" s="4" t="s">
        <v>61</v>
      </c>
      <c r="G423" s="4" t="s">
        <v>543</v>
      </c>
      <c r="H423" s="4" t="s">
        <v>546</v>
      </c>
      <c r="I423" s="83">
        <v>324</v>
      </c>
      <c r="J423" s="76">
        <f t="shared" ca="1" si="41"/>
        <v>4.1283035985046374E-2</v>
      </c>
      <c r="K423" s="4" t="str">
        <f t="shared" si="40"/>
        <v>是</v>
      </c>
      <c r="L423" s="4" t="s">
        <v>12</v>
      </c>
      <c r="M423" s="4"/>
      <c r="N423" s="4" t="s">
        <v>73</v>
      </c>
      <c r="O423" s="8"/>
      <c r="P423" s="84">
        <f t="shared" ca="1" si="42"/>
        <v>36247</v>
      </c>
      <c r="Q423" s="7">
        <v>0</v>
      </c>
      <c r="R423" s="59"/>
    </row>
    <row r="424" spans="1:18">
      <c r="A424" s="58" t="str">
        <f t="shared" si="43"/>
        <v>西南区四川省泸州所</v>
      </c>
      <c r="B424" s="58" t="str">
        <f t="shared" si="44"/>
        <v>标箱组泸州所</v>
      </c>
      <c r="C424" s="4">
        <v>384</v>
      </c>
      <c r="D424" s="4" t="s">
        <v>9</v>
      </c>
      <c r="E424" s="4" t="str">
        <f t="shared" si="39"/>
        <v>西南区</v>
      </c>
      <c r="F424" s="4" t="s">
        <v>61</v>
      </c>
      <c r="G424" s="4" t="s">
        <v>543</v>
      </c>
      <c r="H424" s="4" t="s">
        <v>547</v>
      </c>
      <c r="I424" s="83">
        <v>425.9</v>
      </c>
      <c r="J424" s="76">
        <f t="shared" ca="1" si="41"/>
        <v>5.4266805635898911E-2</v>
      </c>
      <c r="K424" s="4" t="str">
        <f t="shared" si="40"/>
        <v>是</v>
      </c>
      <c r="L424" s="4" t="s">
        <v>12</v>
      </c>
      <c r="M424" s="4"/>
      <c r="N424" s="4" t="s">
        <v>73</v>
      </c>
      <c r="O424" s="8"/>
      <c r="P424" s="84">
        <f t="shared" ca="1" si="42"/>
        <v>47647</v>
      </c>
      <c r="Q424" s="7">
        <v>0</v>
      </c>
      <c r="R424" s="59"/>
    </row>
    <row r="425" spans="1:18">
      <c r="A425" s="58" t="str">
        <f t="shared" si="43"/>
        <v>西南区四川省珙县所</v>
      </c>
      <c r="B425" s="58" t="str">
        <f t="shared" si="44"/>
        <v>标箱组珙县所</v>
      </c>
      <c r="C425" s="4">
        <v>385</v>
      </c>
      <c r="D425" s="4" t="s">
        <v>9</v>
      </c>
      <c r="E425" s="4" t="str">
        <f t="shared" ref="E425:E456" si="45">_xlfn.XLOOKUP($F425,F:F,E:E)</f>
        <v>西南区</v>
      </c>
      <c r="F425" s="4" t="s">
        <v>61</v>
      </c>
      <c r="G425" s="4" t="s">
        <v>543</v>
      </c>
      <c r="H425" s="4" t="s">
        <v>545</v>
      </c>
      <c r="I425" s="83">
        <v>224.65</v>
      </c>
      <c r="J425" s="76">
        <f t="shared" ca="1" si="41"/>
        <v>2.8624179117409467E-2</v>
      </c>
      <c r="K425" s="4" t="str">
        <f t="shared" ref="K425:K456" si="46">_xlfn.XLOOKUP(F425,F:F,K:K,0)</f>
        <v>是</v>
      </c>
      <c r="L425" s="4" t="s">
        <v>12</v>
      </c>
      <c r="M425" s="4"/>
      <c r="N425" s="4" t="s">
        <v>73</v>
      </c>
      <c r="O425" s="8"/>
      <c r="P425" s="84">
        <f t="shared" ca="1" si="42"/>
        <v>25133</v>
      </c>
      <c r="Q425" s="7">
        <v>0</v>
      </c>
      <c r="R425" s="59"/>
    </row>
    <row r="426" spans="1:18">
      <c r="A426" s="58" t="str">
        <f t="shared" si="43"/>
        <v>西南区四川省自贡所</v>
      </c>
      <c r="B426" s="58" t="str">
        <f t="shared" si="44"/>
        <v>标箱组自贡所</v>
      </c>
      <c r="C426" s="4">
        <v>386</v>
      </c>
      <c r="D426" s="4" t="s">
        <v>9</v>
      </c>
      <c r="E426" s="4" t="str">
        <f t="shared" si="45"/>
        <v>西南区</v>
      </c>
      <c r="F426" s="4" t="s">
        <v>61</v>
      </c>
      <c r="G426" s="4" t="s">
        <v>543</v>
      </c>
      <c r="H426" s="4" t="s">
        <v>553</v>
      </c>
      <c r="I426" s="83">
        <v>245.2</v>
      </c>
      <c r="J426" s="76">
        <f t="shared" ref="J426:J456" ca="1" si="47">I426/SUMIF($F$41:$G$456,$F426,$I$41:$I$456)</f>
        <v>3.1242593899794349E-2</v>
      </c>
      <c r="K426" s="4" t="str">
        <f t="shared" si="46"/>
        <v>是</v>
      </c>
      <c r="L426" s="4" t="s">
        <v>12</v>
      </c>
      <c r="M426" s="4"/>
      <c r="N426" s="4" t="s">
        <v>73</v>
      </c>
      <c r="O426" s="8"/>
      <c r="P426" s="84">
        <f t="shared" ref="P426:P456" ca="1" si="48">ROUND(J426*VLOOKUP(F426,F:P,11,0),0)</f>
        <v>27432</v>
      </c>
      <c r="Q426" s="7">
        <v>0</v>
      </c>
      <c r="R426" s="59"/>
    </row>
    <row r="427" spans="1:18">
      <c r="A427" s="58" t="str">
        <f t="shared" si="43"/>
        <v>西南区四川省遂宁所</v>
      </c>
      <c r="B427" s="58" t="str">
        <f t="shared" si="44"/>
        <v>标箱组遂宁所</v>
      </c>
      <c r="C427" s="4">
        <v>387</v>
      </c>
      <c r="D427" s="4" t="s">
        <v>9</v>
      </c>
      <c r="E427" s="4" t="str">
        <f t="shared" si="45"/>
        <v>西南区</v>
      </c>
      <c r="F427" s="4" t="s">
        <v>61</v>
      </c>
      <c r="G427" s="4" t="s">
        <v>543</v>
      </c>
      <c r="H427" s="4" t="s">
        <v>551</v>
      </c>
      <c r="I427" s="83">
        <v>277.2</v>
      </c>
      <c r="J427" s="76">
        <f t="shared" ca="1" si="47"/>
        <v>3.5319930787206341E-2</v>
      </c>
      <c r="K427" s="4" t="str">
        <f t="shared" si="46"/>
        <v>是</v>
      </c>
      <c r="L427" s="4" t="s">
        <v>12</v>
      </c>
      <c r="M427" s="4"/>
      <c r="N427" s="4" t="s">
        <v>73</v>
      </c>
      <c r="O427" s="8"/>
      <c r="P427" s="84">
        <f t="shared" ca="1" si="48"/>
        <v>31012</v>
      </c>
      <c r="Q427" s="7">
        <v>0</v>
      </c>
      <c r="R427" s="59"/>
    </row>
    <row r="428" spans="1:18">
      <c r="A428" s="58" t="str">
        <f t="shared" si="43"/>
        <v>西南区四川省广元所</v>
      </c>
      <c r="B428" s="58" t="str">
        <f t="shared" si="44"/>
        <v>标箱组广元所</v>
      </c>
      <c r="C428" s="4">
        <v>388</v>
      </c>
      <c r="D428" s="4" t="s">
        <v>9</v>
      </c>
      <c r="E428" s="4" t="str">
        <f t="shared" si="45"/>
        <v>西南区</v>
      </c>
      <c r="F428" s="4" t="s">
        <v>61</v>
      </c>
      <c r="G428" s="4" t="s">
        <v>530</v>
      </c>
      <c r="H428" s="4" t="s">
        <v>126</v>
      </c>
      <c r="I428" s="83">
        <v>227.11</v>
      </c>
      <c r="J428" s="76">
        <f t="shared" ca="1" si="47"/>
        <v>2.8937624390629264E-2</v>
      </c>
      <c r="K428" s="4" t="str">
        <f t="shared" si="46"/>
        <v>是</v>
      </c>
      <c r="L428" s="4" t="s">
        <v>127</v>
      </c>
      <c r="M428" s="4" t="s">
        <v>28</v>
      </c>
      <c r="N428" s="4" t="s">
        <v>73</v>
      </c>
      <c r="O428" s="8">
        <v>30000</v>
      </c>
      <c r="P428" s="84">
        <f t="shared" ca="1" si="48"/>
        <v>25408</v>
      </c>
      <c r="Q428" s="7">
        <v>1700000</v>
      </c>
      <c r="R428" s="59"/>
    </row>
    <row r="429" spans="1:18">
      <c r="A429" s="58" t="str">
        <f t="shared" si="43"/>
        <v>西南区四川省德阳所</v>
      </c>
      <c r="B429" s="58" t="str">
        <f t="shared" si="44"/>
        <v>标箱组德阳所</v>
      </c>
      <c r="C429" s="4">
        <v>389</v>
      </c>
      <c r="D429" s="4" t="s">
        <v>9</v>
      </c>
      <c r="E429" s="4" t="str">
        <f t="shared" si="45"/>
        <v>西南区</v>
      </c>
      <c r="F429" s="4" t="s">
        <v>61</v>
      </c>
      <c r="G429" s="4" t="s">
        <v>530</v>
      </c>
      <c r="H429" s="4" t="s">
        <v>532</v>
      </c>
      <c r="I429" s="83">
        <v>346.1</v>
      </c>
      <c r="J429" s="76">
        <f t="shared" ca="1" si="47"/>
        <v>4.409894677291528E-2</v>
      </c>
      <c r="K429" s="4" t="str">
        <f t="shared" si="46"/>
        <v>是</v>
      </c>
      <c r="L429" s="4" t="s">
        <v>127</v>
      </c>
      <c r="M429" s="4" t="s">
        <v>11</v>
      </c>
      <c r="N429" s="4" t="s">
        <v>73</v>
      </c>
      <c r="O429" s="8">
        <v>30000</v>
      </c>
      <c r="P429" s="84">
        <f t="shared" ca="1" si="48"/>
        <v>38720</v>
      </c>
      <c r="Q429" s="7">
        <v>0</v>
      </c>
      <c r="R429" s="59"/>
    </row>
    <row r="430" spans="1:18">
      <c r="A430" s="58" t="str">
        <f t="shared" si="43"/>
        <v>西南区四川省成都所</v>
      </c>
      <c r="B430" s="58" t="str">
        <f t="shared" si="44"/>
        <v>标箱组成都所</v>
      </c>
      <c r="C430" s="4">
        <v>390</v>
      </c>
      <c r="D430" s="4" t="s">
        <v>9</v>
      </c>
      <c r="E430" s="4" t="str">
        <f t="shared" si="45"/>
        <v>西南区</v>
      </c>
      <c r="F430" s="4" t="s">
        <v>61</v>
      </c>
      <c r="G430" s="4" t="s">
        <v>530</v>
      </c>
      <c r="H430" s="4" t="s">
        <v>531</v>
      </c>
      <c r="I430" s="83">
        <v>1521.41</v>
      </c>
      <c r="J430" s="76">
        <f t="shared" ca="1" si="47"/>
        <v>0.19385315980867099</v>
      </c>
      <c r="K430" s="4" t="str">
        <f t="shared" si="46"/>
        <v>是</v>
      </c>
      <c r="L430" s="4" t="s">
        <v>127</v>
      </c>
      <c r="M430" s="4" t="s">
        <v>11</v>
      </c>
      <c r="N430" s="4" t="s">
        <v>73</v>
      </c>
      <c r="O430" s="8">
        <v>250000</v>
      </c>
      <c r="P430" s="84">
        <f t="shared" ca="1" si="48"/>
        <v>170207</v>
      </c>
      <c r="Q430" s="7">
        <v>0</v>
      </c>
      <c r="R430" s="59"/>
    </row>
    <row r="431" spans="1:18">
      <c r="A431" s="58" t="str">
        <f t="shared" si="43"/>
        <v>西南区四川省江油所</v>
      </c>
      <c r="B431" s="58" t="str">
        <f t="shared" si="44"/>
        <v>标箱组江油所</v>
      </c>
      <c r="C431" s="4">
        <v>391</v>
      </c>
      <c r="D431" s="4" t="s">
        <v>9</v>
      </c>
      <c r="E431" s="4" t="str">
        <f t="shared" si="45"/>
        <v>西南区</v>
      </c>
      <c r="F431" s="4" t="s">
        <v>61</v>
      </c>
      <c r="G431" s="4" t="s">
        <v>530</v>
      </c>
      <c r="H431" s="4" t="s">
        <v>533</v>
      </c>
      <c r="I431" s="83">
        <v>192.34</v>
      </c>
      <c r="J431" s="76">
        <f t="shared" ca="1" si="47"/>
        <v>2.4507343028900674E-2</v>
      </c>
      <c r="K431" s="4" t="str">
        <f t="shared" si="46"/>
        <v>是</v>
      </c>
      <c r="L431" s="4" t="s">
        <v>127</v>
      </c>
      <c r="M431" s="4" t="s">
        <v>11</v>
      </c>
      <c r="N431" s="4" t="s">
        <v>73</v>
      </c>
      <c r="O431" s="8">
        <v>30000</v>
      </c>
      <c r="P431" s="84">
        <f t="shared" ca="1" si="48"/>
        <v>21518</v>
      </c>
      <c r="Q431" s="7">
        <v>0</v>
      </c>
      <c r="R431" s="59"/>
    </row>
    <row r="432" spans="1:18">
      <c r="A432" s="58" t="str">
        <f t="shared" si="43"/>
        <v>西南区四川省绵阳所</v>
      </c>
      <c r="B432" s="58" t="str">
        <f t="shared" si="44"/>
        <v>标箱组绵阳所</v>
      </c>
      <c r="C432" s="4">
        <v>392</v>
      </c>
      <c r="D432" s="4" t="s">
        <v>9</v>
      </c>
      <c r="E432" s="4" t="str">
        <f t="shared" si="45"/>
        <v>西南区</v>
      </c>
      <c r="F432" s="4" t="s">
        <v>61</v>
      </c>
      <c r="G432" s="4" t="s">
        <v>530</v>
      </c>
      <c r="H432" s="4" t="s">
        <v>535</v>
      </c>
      <c r="I432" s="83">
        <v>297.47000000000003</v>
      </c>
      <c r="J432" s="76">
        <f t="shared" ca="1" si="47"/>
        <v>3.7902668871826375E-2</v>
      </c>
      <c r="K432" s="4" t="str">
        <f t="shared" si="46"/>
        <v>是</v>
      </c>
      <c r="L432" s="4" t="s">
        <v>127</v>
      </c>
      <c r="M432" s="4" t="s">
        <v>11</v>
      </c>
      <c r="N432" s="4" t="s">
        <v>73</v>
      </c>
      <c r="O432" s="8">
        <v>40000</v>
      </c>
      <c r="P432" s="84">
        <f t="shared" ca="1" si="48"/>
        <v>33279</v>
      </c>
      <c r="Q432" s="7">
        <v>0</v>
      </c>
      <c r="R432" s="59"/>
    </row>
    <row r="433" spans="1:18">
      <c r="A433" s="58" t="str">
        <f t="shared" si="43"/>
        <v>西南区四川省金牛所</v>
      </c>
      <c r="B433" s="58" t="str">
        <f t="shared" si="44"/>
        <v>标箱组金牛所</v>
      </c>
      <c r="C433" s="4">
        <v>393</v>
      </c>
      <c r="D433" s="4" t="s">
        <v>9</v>
      </c>
      <c r="E433" s="4" t="str">
        <f t="shared" si="45"/>
        <v>西南区</v>
      </c>
      <c r="F433" s="4" t="s">
        <v>61</v>
      </c>
      <c r="G433" s="4" t="s">
        <v>530</v>
      </c>
      <c r="H433" s="4" t="s">
        <v>534</v>
      </c>
      <c r="I433" s="83">
        <v>618.9</v>
      </c>
      <c r="J433" s="76">
        <f t="shared" ca="1" si="47"/>
        <v>7.8858243738102463E-2</v>
      </c>
      <c r="K433" s="4" t="str">
        <f t="shared" si="46"/>
        <v>是</v>
      </c>
      <c r="L433" s="4" t="s">
        <v>127</v>
      </c>
      <c r="M433" s="4" t="s">
        <v>11</v>
      </c>
      <c r="N433" s="4" t="s">
        <v>73</v>
      </c>
      <c r="O433" s="8">
        <v>150000</v>
      </c>
      <c r="P433" s="84">
        <f t="shared" ca="1" si="48"/>
        <v>69239</v>
      </c>
      <c r="Q433" s="7">
        <v>0</v>
      </c>
      <c r="R433" s="59"/>
    </row>
    <row r="434" spans="1:18">
      <c r="A434" s="58" t="str">
        <f t="shared" si="43"/>
        <v>西南区贵州省云岩所</v>
      </c>
      <c r="B434" s="58" t="str">
        <f t="shared" si="44"/>
        <v>标箱组云岩所</v>
      </c>
      <c r="C434" s="4">
        <v>394</v>
      </c>
      <c r="D434" s="4" t="s">
        <v>9</v>
      </c>
      <c r="E434" s="4" t="str">
        <f t="shared" si="45"/>
        <v>西南区</v>
      </c>
      <c r="F434" s="4" t="s">
        <v>64</v>
      </c>
      <c r="G434" s="4" t="s">
        <v>515</v>
      </c>
      <c r="H434" s="4" t="s">
        <v>521</v>
      </c>
      <c r="I434" s="83">
        <v>214.29</v>
      </c>
      <c r="J434" s="76">
        <f t="shared" ca="1" si="47"/>
        <v>5.5526764475723064E-2</v>
      </c>
      <c r="K434" s="4" t="str">
        <f t="shared" si="46"/>
        <v>是</v>
      </c>
      <c r="L434" s="4" t="s">
        <v>12</v>
      </c>
      <c r="M434" s="4"/>
      <c r="N434" s="4" t="s">
        <v>73</v>
      </c>
      <c r="O434" s="8"/>
      <c r="P434" s="84">
        <f t="shared" ca="1" si="48"/>
        <v>23974</v>
      </c>
      <c r="Q434" s="7">
        <v>0</v>
      </c>
      <c r="R434" s="59"/>
    </row>
    <row r="435" spans="1:18">
      <c r="A435" s="58" t="str">
        <f t="shared" si="43"/>
        <v>西南区贵州省凯里所</v>
      </c>
      <c r="B435" s="58" t="str">
        <f t="shared" si="44"/>
        <v>标箱组凯里所</v>
      </c>
      <c r="C435" s="4">
        <v>395</v>
      </c>
      <c r="D435" s="4" t="s">
        <v>9</v>
      </c>
      <c r="E435" s="4" t="str">
        <f t="shared" si="45"/>
        <v>西南区</v>
      </c>
      <c r="F435" s="4" t="s">
        <v>64</v>
      </c>
      <c r="G435" s="4" t="s">
        <v>515</v>
      </c>
      <c r="H435" s="4" t="s">
        <v>516</v>
      </c>
      <c r="I435" s="83">
        <v>178.54</v>
      </c>
      <c r="J435" s="76">
        <f t="shared" ca="1" si="47"/>
        <v>4.6263234539621993E-2</v>
      </c>
      <c r="K435" s="4" t="str">
        <f t="shared" si="46"/>
        <v>是</v>
      </c>
      <c r="L435" s="4" t="s">
        <v>12</v>
      </c>
      <c r="M435" s="4"/>
      <c r="N435" s="4" t="s">
        <v>73</v>
      </c>
      <c r="O435" s="8"/>
      <c r="P435" s="84">
        <f t="shared" ca="1" si="48"/>
        <v>19974</v>
      </c>
      <c r="Q435" s="7">
        <v>0</v>
      </c>
      <c r="R435" s="59"/>
    </row>
    <row r="436" spans="1:18">
      <c r="A436" s="58" t="str">
        <f t="shared" si="43"/>
        <v>西南区贵州省南明所</v>
      </c>
      <c r="B436" s="58" t="str">
        <f t="shared" si="44"/>
        <v>标箱组南明所</v>
      </c>
      <c r="C436" s="4">
        <v>396</v>
      </c>
      <c r="D436" s="4" t="s">
        <v>9</v>
      </c>
      <c r="E436" s="4" t="str">
        <f t="shared" si="45"/>
        <v>西南区</v>
      </c>
      <c r="F436" s="4" t="s">
        <v>64</v>
      </c>
      <c r="G436" s="4" t="s">
        <v>515</v>
      </c>
      <c r="H436" s="4" t="s">
        <v>518</v>
      </c>
      <c r="I436" s="83">
        <v>407.77</v>
      </c>
      <c r="J436" s="76">
        <f t="shared" ca="1" si="47"/>
        <v>0.10566124760962059</v>
      </c>
      <c r="K436" s="4" t="str">
        <f t="shared" si="46"/>
        <v>是</v>
      </c>
      <c r="L436" s="4" t="s">
        <v>12</v>
      </c>
      <c r="M436" s="4"/>
      <c r="N436" s="4" t="s">
        <v>73</v>
      </c>
      <c r="O436" s="8"/>
      <c r="P436" s="84">
        <f t="shared" ca="1" si="48"/>
        <v>45619</v>
      </c>
      <c r="Q436" s="7">
        <v>0</v>
      </c>
      <c r="R436" s="59"/>
    </row>
    <row r="437" spans="1:18">
      <c r="A437" s="58" t="str">
        <f t="shared" si="43"/>
        <v>西南区贵州省铜仁所</v>
      </c>
      <c r="B437" s="58" t="str">
        <f t="shared" si="44"/>
        <v>标箱组铜仁所</v>
      </c>
      <c r="C437" s="4">
        <v>397</v>
      </c>
      <c r="D437" s="4" t="s">
        <v>9</v>
      </c>
      <c r="E437" s="4" t="str">
        <f t="shared" si="45"/>
        <v>西南区</v>
      </c>
      <c r="F437" s="4" t="s">
        <v>64</v>
      </c>
      <c r="G437" s="4" t="s">
        <v>515</v>
      </c>
      <c r="H437" s="4" t="s">
        <v>520</v>
      </c>
      <c r="I437" s="83">
        <v>326.43</v>
      </c>
      <c r="J437" s="76">
        <f t="shared" ca="1" si="47"/>
        <v>8.4584449707453838E-2</v>
      </c>
      <c r="K437" s="4" t="str">
        <f t="shared" si="46"/>
        <v>是</v>
      </c>
      <c r="L437" s="4" t="s">
        <v>12</v>
      </c>
      <c r="M437" s="4"/>
      <c r="N437" s="4" t="s">
        <v>73</v>
      </c>
      <c r="O437" s="8"/>
      <c r="P437" s="84">
        <f t="shared" ca="1" si="48"/>
        <v>36519</v>
      </c>
      <c r="Q437" s="7">
        <v>0</v>
      </c>
      <c r="R437" s="59"/>
    </row>
    <row r="438" spans="1:18">
      <c r="A438" s="58" t="str">
        <f t="shared" si="43"/>
        <v>西南区贵州省黎平所</v>
      </c>
      <c r="B438" s="58" t="str">
        <f t="shared" si="44"/>
        <v>标箱组黎平所</v>
      </c>
      <c r="C438" s="4">
        <v>398</v>
      </c>
      <c r="D438" s="4" t="s">
        <v>9</v>
      </c>
      <c r="E438" s="4" t="str">
        <f t="shared" si="45"/>
        <v>西南区</v>
      </c>
      <c r="F438" s="4" t="s">
        <v>64</v>
      </c>
      <c r="G438" s="4" t="s">
        <v>515</v>
      </c>
      <c r="H438" s="4" t="s">
        <v>517</v>
      </c>
      <c r="I438" s="83">
        <v>197.21</v>
      </c>
      <c r="J438" s="76">
        <f t="shared" ca="1" si="47"/>
        <v>5.1100999683873945E-2</v>
      </c>
      <c r="K438" s="4" t="str">
        <f t="shared" si="46"/>
        <v>是</v>
      </c>
      <c r="L438" s="4" t="s">
        <v>12</v>
      </c>
      <c r="M438" s="4"/>
      <c r="N438" s="4" t="s">
        <v>73</v>
      </c>
      <c r="O438" s="8"/>
      <c r="P438" s="84">
        <f t="shared" ca="1" si="48"/>
        <v>22063</v>
      </c>
      <c r="Q438" s="7">
        <v>0</v>
      </c>
      <c r="R438" s="59"/>
    </row>
    <row r="439" spans="1:18">
      <c r="A439" s="58" t="str">
        <f t="shared" si="43"/>
        <v>西南区贵州省黔南所</v>
      </c>
      <c r="B439" s="58" t="str">
        <f t="shared" si="44"/>
        <v>标箱组黔南所</v>
      </c>
      <c r="C439" s="4">
        <v>399</v>
      </c>
      <c r="D439" s="4" t="s">
        <v>9</v>
      </c>
      <c r="E439" s="4" t="str">
        <f t="shared" si="45"/>
        <v>西南区</v>
      </c>
      <c r="F439" s="4" t="s">
        <v>64</v>
      </c>
      <c r="G439" s="4" t="s">
        <v>515</v>
      </c>
      <c r="H439" s="4" t="s">
        <v>519</v>
      </c>
      <c r="I439" s="83">
        <v>349.45</v>
      </c>
      <c r="J439" s="76">
        <f t="shared" ca="1" si="47"/>
        <v>9.0549385627147441E-2</v>
      </c>
      <c r="K439" s="4" t="str">
        <f t="shared" si="46"/>
        <v>是</v>
      </c>
      <c r="L439" s="4" t="s">
        <v>12</v>
      </c>
      <c r="M439" s="4"/>
      <c r="N439" s="4" t="s">
        <v>73</v>
      </c>
      <c r="O439" s="8"/>
      <c r="P439" s="84">
        <f t="shared" ca="1" si="48"/>
        <v>39095</v>
      </c>
      <c r="Q439" s="7">
        <v>0</v>
      </c>
      <c r="R439" s="59"/>
    </row>
    <row r="440" spans="1:18">
      <c r="A440" s="58" t="str">
        <f t="shared" si="43"/>
        <v>西南区贵州省六盘水所</v>
      </c>
      <c r="B440" s="58" t="str">
        <f t="shared" si="44"/>
        <v>标箱组六盘水所</v>
      </c>
      <c r="C440" s="4">
        <v>400</v>
      </c>
      <c r="D440" s="4" t="s">
        <v>9</v>
      </c>
      <c r="E440" s="4" t="str">
        <f t="shared" si="45"/>
        <v>西南区</v>
      </c>
      <c r="F440" s="4" t="s">
        <v>64</v>
      </c>
      <c r="G440" s="4" t="s">
        <v>522</v>
      </c>
      <c r="H440" s="4" t="s">
        <v>525</v>
      </c>
      <c r="I440" s="83">
        <v>301.66000000000003</v>
      </c>
      <c r="J440" s="76">
        <f t="shared" ca="1" si="47"/>
        <v>7.8166054280398634E-2</v>
      </c>
      <c r="K440" s="4" t="str">
        <f t="shared" si="46"/>
        <v>是</v>
      </c>
      <c r="L440" s="4" t="s">
        <v>12</v>
      </c>
      <c r="M440" s="4"/>
      <c r="N440" s="4" t="s">
        <v>73</v>
      </c>
      <c r="O440" s="8"/>
      <c r="P440" s="84">
        <f t="shared" ca="1" si="48"/>
        <v>33748</v>
      </c>
      <c r="Q440" s="7">
        <v>0</v>
      </c>
      <c r="R440" s="59"/>
    </row>
    <row r="441" spans="1:18">
      <c r="A441" s="58" t="str">
        <f t="shared" si="43"/>
        <v>西南区贵州省安顺所</v>
      </c>
      <c r="B441" s="58" t="str">
        <f t="shared" si="44"/>
        <v>标箱组安顺所</v>
      </c>
      <c r="C441" s="4">
        <v>401</v>
      </c>
      <c r="D441" s="4" t="s">
        <v>9</v>
      </c>
      <c r="E441" s="4" t="str">
        <f t="shared" si="45"/>
        <v>西南区</v>
      </c>
      <c r="F441" s="4" t="s">
        <v>64</v>
      </c>
      <c r="G441" s="4" t="s">
        <v>522</v>
      </c>
      <c r="H441" s="4" t="s">
        <v>523</v>
      </c>
      <c r="I441" s="83">
        <v>245.55</v>
      </c>
      <c r="J441" s="76">
        <f t="shared" ca="1" si="47"/>
        <v>6.362684687579355E-2</v>
      </c>
      <c r="K441" s="4" t="str">
        <f t="shared" si="46"/>
        <v>是</v>
      </c>
      <c r="L441" s="4" t="s">
        <v>12</v>
      </c>
      <c r="M441" s="4"/>
      <c r="N441" s="4" t="s">
        <v>73</v>
      </c>
      <c r="O441" s="8"/>
      <c r="P441" s="84">
        <f t="shared" ca="1" si="48"/>
        <v>27471</v>
      </c>
      <c r="Q441" s="7">
        <v>0</v>
      </c>
      <c r="R441" s="59"/>
    </row>
    <row r="442" spans="1:18">
      <c r="A442" s="58" t="str">
        <f t="shared" si="43"/>
        <v>西南区贵州省桐梓所</v>
      </c>
      <c r="B442" s="58" t="str">
        <f t="shared" si="44"/>
        <v>标箱组桐梓所</v>
      </c>
      <c r="C442" s="4">
        <v>402</v>
      </c>
      <c r="D442" s="4" t="s">
        <v>9</v>
      </c>
      <c r="E442" s="4" t="str">
        <f t="shared" si="45"/>
        <v>西南区</v>
      </c>
      <c r="F442" s="4" t="s">
        <v>64</v>
      </c>
      <c r="G442" s="4" t="s">
        <v>522</v>
      </c>
      <c r="H442" s="4" t="s">
        <v>528</v>
      </c>
      <c r="I442" s="83">
        <v>329.52</v>
      </c>
      <c r="J442" s="76">
        <f t="shared" ca="1" si="47"/>
        <v>8.5385129637595147E-2</v>
      </c>
      <c r="K442" s="4" t="str">
        <f t="shared" si="46"/>
        <v>是</v>
      </c>
      <c r="L442" s="4" t="s">
        <v>12</v>
      </c>
      <c r="M442" s="4"/>
      <c r="N442" s="4" t="s">
        <v>73</v>
      </c>
      <c r="O442" s="8"/>
      <c r="P442" s="84">
        <f t="shared" ca="1" si="48"/>
        <v>36865</v>
      </c>
      <c r="Q442" s="7">
        <v>0</v>
      </c>
      <c r="R442" s="59"/>
    </row>
    <row r="443" spans="1:18">
      <c r="A443" s="58" t="str">
        <f t="shared" si="43"/>
        <v>西南区贵州省毕节所</v>
      </c>
      <c r="B443" s="58" t="str">
        <f t="shared" si="44"/>
        <v>标箱组毕节所</v>
      </c>
      <c r="C443" s="4">
        <v>403</v>
      </c>
      <c r="D443" s="4" t="s">
        <v>9</v>
      </c>
      <c r="E443" s="4" t="str">
        <f t="shared" si="45"/>
        <v>西南区</v>
      </c>
      <c r="F443" s="4" t="s">
        <v>64</v>
      </c>
      <c r="G443" s="4" t="s">
        <v>522</v>
      </c>
      <c r="H443" s="4" t="s">
        <v>524</v>
      </c>
      <c r="I443" s="83">
        <v>393.14</v>
      </c>
      <c r="J443" s="76">
        <f t="shared" ca="1" si="47"/>
        <v>0.10187032612807768</v>
      </c>
      <c r="K443" s="4" t="str">
        <f t="shared" si="46"/>
        <v>是</v>
      </c>
      <c r="L443" s="4" t="s">
        <v>12</v>
      </c>
      <c r="M443" s="4"/>
      <c r="N443" s="4" t="s">
        <v>73</v>
      </c>
      <c r="O443" s="8"/>
      <c r="P443" s="84">
        <f t="shared" ca="1" si="48"/>
        <v>43982</v>
      </c>
      <c r="Q443" s="7">
        <v>0</v>
      </c>
      <c r="R443" s="59"/>
    </row>
    <row r="444" spans="1:18">
      <c r="A444" s="58" t="str">
        <f t="shared" si="43"/>
        <v>西南区贵州省遵义所</v>
      </c>
      <c r="B444" s="58" t="str">
        <f t="shared" si="44"/>
        <v>标箱组遵义所</v>
      </c>
      <c r="C444" s="4">
        <v>404</v>
      </c>
      <c r="D444" s="4" t="s">
        <v>9</v>
      </c>
      <c r="E444" s="4" t="str">
        <f t="shared" si="45"/>
        <v>西南区</v>
      </c>
      <c r="F444" s="4" t="s">
        <v>64</v>
      </c>
      <c r="G444" s="4" t="s">
        <v>522</v>
      </c>
      <c r="H444" s="4" t="s">
        <v>529</v>
      </c>
      <c r="I444" s="83">
        <v>328.57</v>
      </c>
      <c r="J444" s="76">
        <f t="shared" ca="1" si="47"/>
        <v>8.5138965905027439E-2</v>
      </c>
      <c r="K444" s="4" t="str">
        <f t="shared" si="46"/>
        <v>是</v>
      </c>
      <c r="L444" s="4" t="s">
        <v>12</v>
      </c>
      <c r="M444" s="4"/>
      <c r="N444" s="4" t="s">
        <v>73</v>
      </c>
      <c r="O444" s="8"/>
      <c r="P444" s="84">
        <f t="shared" ca="1" si="48"/>
        <v>36759</v>
      </c>
      <c r="Q444" s="7">
        <v>0</v>
      </c>
      <c r="R444" s="59"/>
    </row>
    <row r="445" spans="1:18">
      <c r="A445" s="58" t="str">
        <f t="shared" si="43"/>
        <v>西南区贵州省黔西南所</v>
      </c>
      <c r="B445" s="58" t="str">
        <f t="shared" si="44"/>
        <v>标箱组黔西南所</v>
      </c>
      <c r="C445" s="4">
        <v>405</v>
      </c>
      <c r="D445" s="4" t="s">
        <v>9</v>
      </c>
      <c r="E445" s="4" t="str">
        <f t="shared" si="45"/>
        <v>西南区</v>
      </c>
      <c r="F445" s="4" t="s">
        <v>64</v>
      </c>
      <c r="G445" s="4" t="s">
        <v>522</v>
      </c>
      <c r="H445" s="4" t="s">
        <v>526</v>
      </c>
      <c r="I445" s="83">
        <v>298.63</v>
      </c>
      <c r="J445" s="76">
        <f t="shared" ca="1" si="47"/>
        <v>7.7380921533366842E-2</v>
      </c>
      <c r="K445" s="4" t="str">
        <f t="shared" si="46"/>
        <v>是</v>
      </c>
      <c r="L445" s="4" t="s">
        <v>12</v>
      </c>
      <c r="M445" s="4"/>
      <c r="N445" s="4" t="s">
        <v>73</v>
      </c>
      <c r="O445" s="8"/>
      <c r="P445" s="84">
        <f t="shared" ca="1" si="48"/>
        <v>33409</v>
      </c>
      <c r="Q445" s="7">
        <v>0</v>
      </c>
      <c r="R445" s="59"/>
    </row>
    <row r="446" spans="1:18">
      <c r="A446" s="58" t="str">
        <f t="shared" si="43"/>
        <v>西南区贵州省黔西所</v>
      </c>
      <c r="B446" s="58" t="str">
        <f t="shared" si="44"/>
        <v>标箱组黔西所</v>
      </c>
      <c r="C446" s="4">
        <v>406</v>
      </c>
      <c r="D446" s="4" t="s">
        <v>9</v>
      </c>
      <c r="E446" s="4" t="str">
        <f t="shared" si="45"/>
        <v>西南区</v>
      </c>
      <c r="F446" s="4" t="s">
        <v>64</v>
      </c>
      <c r="G446" s="4" t="s">
        <v>522</v>
      </c>
      <c r="H446" s="4" t="s">
        <v>527</v>
      </c>
      <c r="I446" s="83">
        <v>288.45999999999998</v>
      </c>
      <c r="J446" s="76">
        <f t="shared" ca="1" si="47"/>
        <v>7.4745673996299763E-2</v>
      </c>
      <c r="K446" s="4" t="str">
        <f t="shared" si="46"/>
        <v>是</v>
      </c>
      <c r="L446" s="4" t="s">
        <v>12</v>
      </c>
      <c r="M446" s="4"/>
      <c r="N446" s="4" t="s">
        <v>73</v>
      </c>
      <c r="O446" s="8"/>
      <c r="P446" s="84">
        <f t="shared" ca="1" si="48"/>
        <v>32271</v>
      </c>
      <c r="Q446" s="7">
        <v>0</v>
      </c>
      <c r="R446" s="59"/>
    </row>
    <row r="447" spans="1:18">
      <c r="A447" s="58" t="str">
        <f t="shared" si="43"/>
        <v>西南区重庆市万州所</v>
      </c>
      <c r="B447" s="58" t="str">
        <f t="shared" si="44"/>
        <v>标箱组万州所</v>
      </c>
      <c r="C447" s="4">
        <v>407</v>
      </c>
      <c r="D447" s="4" t="s">
        <v>9</v>
      </c>
      <c r="E447" s="4" t="str">
        <f t="shared" si="45"/>
        <v>西南区</v>
      </c>
      <c r="F447" s="4" t="s">
        <v>59</v>
      </c>
      <c r="G447" s="4" t="s">
        <v>568</v>
      </c>
      <c r="H447" s="4" t="s">
        <v>573</v>
      </c>
      <c r="I447" s="83">
        <v>474.99</v>
      </c>
      <c r="J447" s="76">
        <f t="shared" ca="1" si="47"/>
        <v>0.12739815309020783</v>
      </c>
      <c r="K447" s="4" t="str">
        <f t="shared" si="46"/>
        <v>是</v>
      </c>
      <c r="L447" s="4" t="s">
        <v>12</v>
      </c>
      <c r="M447" s="4"/>
      <c r="N447" s="4" t="s">
        <v>73</v>
      </c>
      <c r="O447" s="8"/>
      <c r="P447" s="84">
        <f t="shared" ca="1" si="48"/>
        <v>53139</v>
      </c>
      <c r="Q447" s="7">
        <v>0</v>
      </c>
      <c r="R447" s="59"/>
    </row>
    <row r="448" spans="1:18">
      <c r="A448" s="58" t="str">
        <f t="shared" si="43"/>
        <v>西南区重庆市九龙所</v>
      </c>
      <c r="B448" s="58" t="str">
        <f t="shared" si="44"/>
        <v>标箱组九龙所</v>
      </c>
      <c r="C448" s="4">
        <v>408</v>
      </c>
      <c r="D448" s="4" t="s">
        <v>9</v>
      </c>
      <c r="E448" s="4" t="str">
        <f t="shared" si="45"/>
        <v>西南区</v>
      </c>
      <c r="F448" s="4" t="s">
        <v>59</v>
      </c>
      <c r="G448" s="4" t="s">
        <v>568</v>
      </c>
      <c r="H448" s="4" t="s">
        <v>571</v>
      </c>
      <c r="I448" s="83">
        <v>336.66</v>
      </c>
      <c r="J448" s="76">
        <f t="shared" ca="1" si="47"/>
        <v>9.0296347753319794E-2</v>
      </c>
      <c r="K448" s="4" t="str">
        <f t="shared" si="46"/>
        <v>是</v>
      </c>
      <c r="L448" s="4" t="s">
        <v>129</v>
      </c>
      <c r="M448" s="4" t="s">
        <v>11</v>
      </c>
      <c r="N448" s="4" t="s">
        <v>73</v>
      </c>
      <c r="O448" s="8">
        <v>75000</v>
      </c>
      <c r="P448" s="84">
        <f t="shared" ca="1" si="48"/>
        <v>37664</v>
      </c>
      <c r="Q448" s="7">
        <v>0</v>
      </c>
      <c r="R448" s="59"/>
    </row>
    <row r="449" spans="1:18">
      <c r="A449" s="58" t="str">
        <f t="shared" si="43"/>
        <v>西南区重庆市云阳所</v>
      </c>
      <c r="B449" s="58" t="str">
        <f t="shared" si="44"/>
        <v>标箱组云阳所</v>
      </c>
      <c r="C449" s="4">
        <v>409</v>
      </c>
      <c r="D449" s="4" t="s">
        <v>9</v>
      </c>
      <c r="E449" s="4" t="str">
        <f t="shared" si="45"/>
        <v>西南区</v>
      </c>
      <c r="F449" s="4" t="s">
        <v>59</v>
      </c>
      <c r="G449" s="4" t="s">
        <v>568</v>
      </c>
      <c r="H449" s="4" t="s">
        <v>577</v>
      </c>
      <c r="I449" s="83">
        <v>351.36</v>
      </c>
      <c r="J449" s="76">
        <f t="shared" ca="1" si="47"/>
        <v>9.4239068337807999E-2</v>
      </c>
      <c r="K449" s="4" t="str">
        <f t="shared" si="46"/>
        <v>是</v>
      </c>
      <c r="L449" s="4" t="s">
        <v>12</v>
      </c>
      <c r="M449" s="4"/>
      <c r="N449" s="4" t="s">
        <v>73</v>
      </c>
      <c r="O449" s="8"/>
      <c r="P449" s="84">
        <f t="shared" ca="1" si="48"/>
        <v>39308</v>
      </c>
      <c r="Q449" s="7">
        <v>0</v>
      </c>
      <c r="R449" s="59"/>
    </row>
    <row r="450" spans="1:18">
      <c r="A450" s="58" t="str">
        <f t="shared" si="43"/>
        <v>西南区重庆市南坪所</v>
      </c>
      <c r="B450" s="58" t="str">
        <f t="shared" si="44"/>
        <v>标箱组南坪所</v>
      </c>
      <c r="C450" s="4">
        <v>410</v>
      </c>
      <c r="D450" s="4" t="s">
        <v>9</v>
      </c>
      <c r="E450" s="4" t="str">
        <f t="shared" si="45"/>
        <v>西南区</v>
      </c>
      <c r="F450" s="4" t="s">
        <v>59</v>
      </c>
      <c r="G450" s="4" t="s">
        <v>568</v>
      </c>
      <c r="H450" s="4" t="s">
        <v>572</v>
      </c>
      <c r="I450" s="83">
        <v>405.83</v>
      </c>
      <c r="J450" s="76">
        <f t="shared" ca="1" si="47"/>
        <v>0.1088485914831871</v>
      </c>
      <c r="K450" s="4" t="str">
        <f t="shared" si="46"/>
        <v>是</v>
      </c>
      <c r="L450" s="4" t="s">
        <v>129</v>
      </c>
      <c r="M450" s="4" t="s">
        <v>11</v>
      </c>
      <c r="N450" s="4" t="s">
        <v>73</v>
      </c>
      <c r="O450" s="8">
        <v>75000</v>
      </c>
      <c r="P450" s="84">
        <f t="shared" ca="1" si="48"/>
        <v>45402</v>
      </c>
      <c r="Q450" s="7">
        <v>0</v>
      </c>
      <c r="R450" s="59"/>
    </row>
    <row r="451" spans="1:18">
      <c r="A451" s="58" t="str">
        <f t="shared" si="43"/>
        <v>西南区重庆市宣汉所</v>
      </c>
      <c r="B451" s="58" t="str">
        <f t="shared" si="44"/>
        <v>标箱组宣汉所</v>
      </c>
      <c r="C451" s="4">
        <v>411</v>
      </c>
      <c r="D451" s="4" t="s">
        <v>9</v>
      </c>
      <c r="E451" s="4" t="str">
        <f t="shared" si="45"/>
        <v>西南区</v>
      </c>
      <c r="F451" s="4" t="s">
        <v>59</v>
      </c>
      <c r="G451" s="4" t="s">
        <v>568</v>
      </c>
      <c r="H451" s="4" t="s">
        <v>574</v>
      </c>
      <c r="I451" s="83">
        <v>195.93</v>
      </c>
      <c r="J451" s="76">
        <f t="shared" ca="1" si="47"/>
        <v>5.2550832933250004E-2</v>
      </c>
      <c r="K451" s="4" t="str">
        <f t="shared" si="46"/>
        <v>是</v>
      </c>
      <c r="L451" s="4" t="s">
        <v>12</v>
      </c>
      <c r="M451" s="4"/>
      <c r="N451" s="4" t="s">
        <v>73</v>
      </c>
      <c r="O451" s="8"/>
      <c r="P451" s="84">
        <f t="shared" ca="1" si="48"/>
        <v>21920</v>
      </c>
      <c r="Q451" s="7">
        <v>0</v>
      </c>
      <c r="R451" s="59"/>
    </row>
    <row r="452" spans="1:18">
      <c r="A452" s="58" t="str">
        <f t="shared" si="43"/>
        <v>西南区重庆市涪陵所</v>
      </c>
      <c r="B452" s="58" t="str">
        <f t="shared" si="44"/>
        <v>标箱组涪陵所</v>
      </c>
      <c r="C452" s="4">
        <v>412</v>
      </c>
      <c r="D452" s="4" t="s">
        <v>9</v>
      </c>
      <c r="E452" s="4" t="str">
        <f t="shared" si="45"/>
        <v>西南区</v>
      </c>
      <c r="F452" s="4" t="s">
        <v>59</v>
      </c>
      <c r="G452" s="4" t="s">
        <v>568</v>
      </c>
      <c r="H452" s="4" t="s">
        <v>570</v>
      </c>
      <c r="I452" s="83">
        <v>383.47</v>
      </c>
      <c r="J452" s="76">
        <f t="shared" ca="1" si="47"/>
        <v>0.10285136479821048</v>
      </c>
      <c r="K452" s="4" t="str">
        <f t="shared" si="46"/>
        <v>是</v>
      </c>
      <c r="L452" s="4" t="s">
        <v>12</v>
      </c>
      <c r="M452" s="4"/>
      <c r="N452" s="4" t="s">
        <v>73</v>
      </c>
      <c r="O452" s="8"/>
      <c r="P452" s="84">
        <f t="shared" ca="1" si="48"/>
        <v>42901</v>
      </c>
      <c r="Q452" s="7">
        <v>0</v>
      </c>
      <c r="R452" s="59"/>
    </row>
    <row r="453" spans="1:18">
      <c r="A453" s="58" t="str">
        <f t="shared" si="43"/>
        <v>西南区重庆市渝中所</v>
      </c>
      <c r="B453" s="58" t="str">
        <f t="shared" si="44"/>
        <v>标箱组渝中所</v>
      </c>
      <c r="C453" s="4">
        <v>413</v>
      </c>
      <c r="D453" s="4" t="s">
        <v>9</v>
      </c>
      <c r="E453" s="4" t="str">
        <f t="shared" si="45"/>
        <v>西南区</v>
      </c>
      <c r="F453" s="4" t="s">
        <v>59</v>
      </c>
      <c r="G453" s="4" t="s">
        <v>568</v>
      </c>
      <c r="H453" s="4" t="s">
        <v>576</v>
      </c>
      <c r="I453" s="83">
        <v>438.76</v>
      </c>
      <c r="J453" s="76">
        <f t="shared" ca="1" si="47"/>
        <v>0.11768082201701001</v>
      </c>
      <c r="K453" s="4" t="str">
        <f t="shared" si="46"/>
        <v>是</v>
      </c>
      <c r="L453" s="4" t="s">
        <v>129</v>
      </c>
      <c r="M453" s="4" t="s">
        <v>11</v>
      </c>
      <c r="N453" s="4" t="s">
        <v>73</v>
      </c>
      <c r="O453" s="8">
        <v>90000</v>
      </c>
      <c r="P453" s="84">
        <f t="shared" ca="1" si="48"/>
        <v>49086</v>
      </c>
      <c r="Q453" s="7">
        <v>0</v>
      </c>
      <c r="R453" s="59"/>
    </row>
    <row r="454" spans="1:18">
      <c r="A454" s="58" t="str">
        <f t="shared" si="43"/>
        <v>西南区重庆市渝北所</v>
      </c>
      <c r="B454" s="58" t="str">
        <f t="shared" si="44"/>
        <v>标箱组渝北所</v>
      </c>
      <c r="C454" s="4">
        <v>414</v>
      </c>
      <c r="D454" s="4" t="s">
        <v>9</v>
      </c>
      <c r="E454" s="4" t="str">
        <f t="shared" si="45"/>
        <v>西南区</v>
      </c>
      <c r="F454" s="4" t="s">
        <v>59</v>
      </c>
      <c r="G454" s="4" t="s">
        <v>568</v>
      </c>
      <c r="H454" s="4" t="s">
        <v>575</v>
      </c>
      <c r="I454" s="83">
        <v>523.91999999999996</v>
      </c>
      <c r="J454" s="76">
        <f t="shared" ca="1" si="47"/>
        <v>0.14052178017857572</v>
      </c>
      <c r="K454" s="4" t="str">
        <f t="shared" si="46"/>
        <v>是</v>
      </c>
      <c r="L454" s="4" t="s">
        <v>129</v>
      </c>
      <c r="M454" s="4" t="s">
        <v>11</v>
      </c>
      <c r="N454" s="4" t="s">
        <v>73</v>
      </c>
      <c r="O454" s="8">
        <v>75000</v>
      </c>
      <c r="P454" s="84">
        <f t="shared" ca="1" si="48"/>
        <v>58613</v>
      </c>
      <c r="Q454" s="7">
        <v>0</v>
      </c>
      <c r="R454" s="59"/>
    </row>
    <row r="455" spans="1:18">
      <c r="A455" s="58" t="str">
        <f t="shared" si="43"/>
        <v>西南区重庆市达州所</v>
      </c>
      <c r="B455" s="58" t="str">
        <f t="shared" si="44"/>
        <v>标箱组达州所</v>
      </c>
      <c r="C455" s="4">
        <v>415</v>
      </c>
      <c r="D455" s="4" t="s">
        <v>9</v>
      </c>
      <c r="E455" s="4" t="str">
        <f t="shared" si="45"/>
        <v>西南区</v>
      </c>
      <c r="F455" s="4" t="s">
        <v>59</v>
      </c>
      <c r="G455" s="4" t="s">
        <v>568</v>
      </c>
      <c r="H455" s="4" t="s">
        <v>569</v>
      </c>
      <c r="I455" s="83">
        <v>341.07</v>
      </c>
      <c r="J455" s="76">
        <f t="shared" ca="1" si="47"/>
        <v>9.1479163928666257E-2</v>
      </c>
      <c r="K455" s="4" t="str">
        <f t="shared" si="46"/>
        <v>是</v>
      </c>
      <c r="L455" s="4" t="s">
        <v>12</v>
      </c>
      <c r="M455" s="4"/>
      <c r="N455" s="4" t="s">
        <v>73</v>
      </c>
      <c r="O455" s="8"/>
      <c r="P455" s="84">
        <f t="shared" ca="1" si="48"/>
        <v>38157</v>
      </c>
      <c r="Q455" s="7">
        <v>0</v>
      </c>
      <c r="R455" s="59"/>
    </row>
    <row r="456" spans="1:18">
      <c r="A456" s="58" t="str">
        <f t="shared" si="43"/>
        <v>西南区重庆市黔江所</v>
      </c>
      <c r="B456" s="58" t="str">
        <f t="shared" si="44"/>
        <v>标箱组黔江所</v>
      </c>
      <c r="C456" s="4">
        <v>416</v>
      </c>
      <c r="D456" s="4" t="s">
        <v>9</v>
      </c>
      <c r="E456" s="4" t="str">
        <f t="shared" si="45"/>
        <v>西南区</v>
      </c>
      <c r="F456" s="4" t="s">
        <v>59</v>
      </c>
      <c r="G456" s="4" t="s">
        <v>568</v>
      </c>
      <c r="H456" s="4" t="s">
        <v>128</v>
      </c>
      <c r="I456" s="83">
        <v>276.39999999999998</v>
      </c>
      <c r="J456" s="76">
        <f t="shared" ca="1" si="47"/>
        <v>7.4133875479764716E-2</v>
      </c>
      <c r="K456" s="4" t="str">
        <f t="shared" si="46"/>
        <v>是</v>
      </c>
      <c r="L456" s="4" t="s">
        <v>129</v>
      </c>
      <c r="M456" s="4" t="s">
        <v>28</v>
      </c>
      <c r="N456" s="4" t="s">
        <v>73</v>
      </c>
      <c r="O456" s="8">
        <v>75000</v>
      </c>
      <c r="P456" s="84">
        <f t="shared" ca="1" si="48"/>
        <v>30922</v>
      </c>
      <c r="Q456" s="7">
        <v>1700000</v>
      </c>
      <c r="R456" s="59"/>
    </row>
  </sheetData>
  <autoFilter ref="A3:AC3" xr:uid="{00000000-0001-0000-0400-000000000000}"/>
  <phoneticPr fontId="28" type="noConversion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1:E42"/>
  <sheetViews>
    <sheetView topLeftCell="A30" workbookViewId="0"/>
  </sheetViews>
  <sheetFormatPr baseColWidth="10" defaultColWidth="8.83203125" defaultRowHeight="17"/>
  <cols>
    <col min="4" max="4" width="19" style="70"/>
  </cols>
  <sheetData>
    <row r="1" spans="4:5" ht="18">
      <c r="D1" s="2" t="s">
        <v>5</v>
      </c>
    </row>
    <row r="2" spans="4:5">
      <c r="D2" s="4" t="s">
        <v>31</v>
      </c>
      <c r="E2" s="50" t="s">
        <v>578</v>
      </c>
    </row>
    <row r="3" spans="4:5">
      <c r="D3" s="4" t="s">
        <v>36</v>
      </c>
      <c r="E3" s="50" t="s">
        <v>579</v>
      </c>
    </row>
    <row r="4" spans="4:5">
      <c r="D4" s="4" t="s">
        <v>42</v>
      </c>
      <c r="E4" s="50" t="s">
        <v>580</v>
      </c>
    </row>
    <row r="5" spans="4:5">
      <c r="D5" s="4" t="s">
        <v>45</v>
      </c>
      <c r="E5" s="50" t="s">
        <v>581</v>
      </c>
    </row>
    <row r="6" spans="4:5">
      <c r="D6" s="4" t="s">
        <v>47</v>
      </c>
      <c r="E6" s="50" t="s">
        <v>582</v>
      </c>
    </row>
    <row r="7" spans="4:5">
      <c r="D7" s="4" t="s">
        <v>50</v>
      </c>
      <c r="E7" s="50" t="s">
        <v>583</v>
      </c>
    </row>
    <row r="8" spans="4:5">
      <c r="D8" s="4" t="s">
        <v>53</v>
      </c>
      <c r="E8" s="50" t="s">
        <v>584</v>
      </c>
    </row>
    <row r="9" spans="4:5">
      <c r="D9" s="4" t="s">
        <v>55</v>
      </c>
      <c r="E9" s="50" t="s">
        <v>585</v>
      </c>
    </row>
    <row r="10" spans="4:5">
      <c r="D10" s="4" t="s">
        <v>57</v>
      </c>
      <c r="E10" s="50" t="s">
        <v>586</v>
      </c>
    </row>
    <row r="11" spans="4:5">
      <c r="D11" s="4" t="s">
        <v>60</v>
      </c>
      <c r="E11" s="50" t="s">
        <v>587</v>
      </c>
    </row>
    <row r="12" spans="4:5">
      <c r="D12" s="4" t="s">
        <v>62</v>
      </c>
      <c r="E12" s="50" t="s">
        <v>588</v>
      </c>
    </row>
    <row r="13" spans="4:5">
      <c r="D13" s="51" t="s">
        <v>87</v>
      </c>
      <c r="E13" s="50" t="s">
        <v>589</v>
      </c>
    </row>
    <row r="14" spans="4:5">
      <c r="D14" s="51" t="s">
        <v>77</v>
      </c>
      <c r="E14" s="50" t="s">
        <v>590</v>
      </c>
    </row>
    <row r="15" spans="4:5">
      <c r="D15" s="51" t="s">
        <v>79</v>
      </c>
      <c r="E15" s="50" t="s">
        <v>591</v>
      </c>
    </row>
    <row r="16" spans="4:5">
      <c r="D16" s="51" t="s">
        <v>83</v>
      </c>
      <c r="E16" s="50" t="s">
        <v>592</v>
      </c>
    </row>
    <row r="17" spans="4:5">
      <c r="D17" s="51" t="s">
        <v>81</v>
      </c>
      <c r="E17" s="50" t="s">
        <v>593</v>
      </c>
    </row>
    <row r="18" spans="4:5">
      <c r="D18" s="51" t="s">
        <v>85</v>
      </c>
      <c r="E18" s="50" t="s">
        <v>594</v>
      </c>
    </row>
    <row r="19" spans="4:5">
      <c r="D19" s="4" t="s">
        <v>89</v>
      </c>
      <c r="E19" s="50" t="s">
        <v>595</v>
      </c>
    </row>
    <row r="20" spans="4:5">
      <c r="D20" s="52" t="s">
        <v>91</v>
      </c>
      <c r="E20" s="50" t="s">
        <v>596</v>
      </c>
    </row>
    <row r="21" spans="4:5">
      <c r="D21" s="52" t="s">
        <v>93</v>
      </c>
      <c r="E21" s="50" t="s">
        <v>597</v>
      </c>
    </row>
    <row r="22" spans="4:5">
      <c r="D22" s="52" t="s">
        <v>95</v>
      </c>
      <c r="E22" s="50" t="s">
        <v>598</v>
      </c>
    </row>
    <row r="23" spans="4:5">
      <c r="D23" s="52" t="s">
        <v>99</v>
      </c>
      <c r="E23" s="50" t="s">
        <v>599</v>
      </c>
    </row>
    <row r="24" spans="4:5">
      <c r="D24" s="52" t="s">
        <v>97</v>
      </c>
      <c r="E24" s="50" t="s">
        <v>600</v>
      </c>
    </row>
    <row r="25" spans="4:5">
      <c r="D25" s="52" t="s">
        <v>101</v>
      </c>
      <c r="E25" s="50" t="s">
        <v>601</v>
      </c>
    </row>
    <row r="26" spans="4:5">
      <c r="D26" s="52" t="s">
        <v>103</v>
      </c>
      <c r="E26" s="50" t="s">
        <v>602</v>
      </c>
    </row>
    <row r="27" spans="4:5">
      <c r="D27" s="52" t="s">
        <v>603</v>
      </c>
      <c r="E27" s="50" t="s">
        <v>604</v>
      </c>
    </row>
    <row r="28" spans="4:5">
      <c r="D28" s="52" t="s">
        <v>105</v>
      </c>
      <c r="E28" s="50" t="s">
        <v>605</v>
      </c>
    </row>
    <row r="29" spans="4:5">
      <c r="D29" s="52" t="s">
        <v>107</v>
      </c>
      <c r="E29" s="50" t="s">
        <v>606</v>
      </c>
    </row>
    <row r="30" spans="4:5">
      <c r="D30" s="53" t="s">
        <v>111</v>
      </c>
      <c r="E30" s="50" t="s">
        <v>607</v>
      </c>
    </row>
    <row r="31" spans="4:5">
      <c r="D31" s="53" t="s">
        <v>109</v>
      </c>
      <c r="E31" s="50" t="s">
        <v>608</v>
      </c>
    </row>
    <row r="32" spans="4:5">
      <c r="D32" s="53" t="s">
        <v>113</v>
      </c>
      <c r="E32" s="50" t="s">
        <v>609</v>
      </c>
    </row>
    <row r="33" spans="4:5">
      <c r="D33" s="53" t="s">
        <v>115</v>
      </c>
      <c r="E33" s="50" t="s">
        <v>610</v>
      </c>
    </row>
    <row r="34" spans="4:5">
      <c r="D34" s="54" t="s">
        <v>119</v>
      </c>
      <c r="E34" s="50" t="s">
        <v>611</v>
      </c>
    </row>
    <row r="35" spans="4:5">
      <c r="D35" s="54" t="s">
        <v>117</v>
      </c>
      <c r="E35" s="50" t="s">
        <v>612</v>
      </c>
    </row>
    <row r="36" spans="4:5">
      <c r="D36" s="4" t="s">
        <v>123</v>
      </c>
      <c r="E36" s="50" t="s">
        <v>613</v>
      </c>
    </row>
    <row r="37" spans="4:5">
      <c r="D37" s="4" t="s">
        <v>121</v>
      </c>
      <c r="E37" s="50" t="s">
        <v>614</v>
      </c>
    </row>
    <row r="38" spans="4:5">
      <c r="D38" s="4" t="s">
        <v>72</v>
      </c>
      <c r="E38" s="50" t="s">
        <v>615</v>
      </c>
    </row>
    <row r="39" spans="4:5">
      <c r="D39" s="4" t="s">
        <v>75</v>
      </c>
      <c r="E39" s="50" t="s">
        <v>616</v>
      </c>
    </row>
    <row r="40" spans="4:5">
      <c r="D40" s="4" t="s">
        <v>125</v>
      </c>
      <c r="E40" s="50" t="s">
        <v>617</v>
      </c>
    </row>
    <row r="41" spans="4:5">
      <c r="D41" s="4" t="s">
        <v>127</v>
      </c>
      <c r="E41" s="50" t="s">
        <v>618</v>
      </c>
    </row>
    <row r="42" spans="4:5">
      <c r="D42" s="4" t="s">
        <v>129</v>
      </c>
      <c r="E42" s="50" t="s">
        <v>619</v>
      </c>
    </row>
  </sheetData>
  <phoneticPr fontId="28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目标设置规则 v2</vt:lpstr>
      <vt:lpstr>目标设置规则</vt:lpstr>
      <vt:lpstr>目标达成率考核</vt:lpstr>
      <vt:lpstr>汰换特批规则-26.7</vt:lpstr>
      <vt:lpstr>无上级营业所最低目标</vt:lpstr>
      <vt:lpstr>Sheet1</vt:lpstr>
      <vt:lpstr>目标测算汇总</vt:lpstr>
      <vt:lpstr>营业所测算</vt:lpstr>
      <vt:lpstr>组别目标-标箱组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2026-05-07T15:02:59Z</dcterms:created>
  <dcterms:modified xsi:type="dcterms:W3CDTF">2026-10-22T03:53:29Z</dcterms:modified>
</cp:coreProperties>
</file>