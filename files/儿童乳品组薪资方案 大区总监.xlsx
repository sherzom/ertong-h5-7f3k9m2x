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mc:AlternateContent xmlns:mc="http://schemas.openxmlformats.org/markup-compatibility/2006">
    <mc:Choice Requires="x15">
      <x15ac:absPath xmlns:x15ac="http://schemas.microsoft.com/office/spreadsheetml/2010/11/ac" url="/Users/00441211/Desktop/部门工作/培训资料/儿童乳品组/"/>
    </mc:Choice>
  </mc:AlternateContent>
  <xr:revisionPtr revIDLastSave="0" documentId="13_ncr:1_{49BCF7C4-4299-0D4B-A859-2F8EB0CD70B1}" xr6:coauthVersionLast="47" xr6:coauthVersionMax="47" xr10:uidLastSave="{00000000-0000-0000-0000-000000000000}"/>
  <bookViews>
    <workbookView xWindow="0" yWindow="0" windowWidth="28800" windowHeight="18000" xr2:uid="{00000000-000D-0000-FFFF-FFFF00000000}"/>
  </bookViews>
  <sheets>
    <sheet name="产品组-组织架构 " sheetId="67" r:id="rId1"/>
    <sheet name="成熟度方案" sheetId="102" r:id="rId2"/>
    <sheet name="编制管控" sheetId="91" state="hidden" r:id="rId3"/>
    <sheet name="岗位说明书" sheetId="93" r:id="rId4"/>
    <sheet name="产品组 大区总监 - 薪资方案" sheetId="5" r:id="rId5"/>
    <sheet name="产品组 省区总监 - 薪资方案" sheetId="88" r:id="rId6"/>
    <sheet name="产品组 区域总监 - 薪资方案" sheetId="69" r:id="rId7"/>
    <sheet name="产品组 区域经理 - 薪资方案" sheetId="70" r:id="rId8"/>
    <sheet name="产品组 客户主任-薪资方案" sheetId="94" r:id="rId9"/>
    <sheet name="系统调整绩效扣罚" sheetId="35" r:id="rId10"/>
    <sheet name="货需管控扣罚规则" sheetId="25" r:id="rId11"/>
    <sheet name="回调率扣罚规则" sheetId="99" r:id="rId12"/>
    <sheet name="组别异动规则" sheetId="27" r:id="rId13"/>
    <sheet name="线下窜货、线上售卖扣罚标准" sheetId="21" r:id="rId14"/>
    <sheet name="儿童乳品组提成系数" sheetId="80" r:id="rId15"/>
  </sheets>
  <externalReferences>
    <externalReference r:id="rId16"/>
    <externalReference r:id="rId17"/>
    <externalReference r:id="rId18"/>
    <externalReference r:id="rId19"/>
  </externalReferences>
  <definedNames>
    <definedName name="_xlnm._FilterDatabase" localSheetId="14" hidden="1">儿童乳品组提成系数!$B$2:$L$2</definedName>
    <definedName name="_xlcn.WorksheetConnection_商品分析周会模板2022.1.24.xlsx订单明细1" localSheetId="7" hidden="1">订单明细</definedName>
    <definedName name="_xlcn.WorksheetConnection_商品分析周会模板2022.1.24.xlsx订单明细1" localSheetId="6" hidden="1">订单明细</definedName>
    <definedName name="_xlcn.WorksheetConnection_商品分析周会模板2022.1.24.xlsx订单明细1" localSheetId="5" hidden="1">订单明细</definedName>
    <definedName name="_xlcn.WorksheetConnection_商品分析周会模板2022.1.24.xlsx订单明细1" localSheetId="0" hidden="1">订单明细</definedName>
    <definedName name="_xlcn.WorksheetConnection_商品分析周会模板2022.1.24.xlsx订单明细1" localSheetId="14" hidden="1">订单明细</definedName>
    <definedName name="_xlcn.WorksheetConnection_商品分析周会模板2022.1.24.xlsx订单明细1" localSheetId="3" hidden="1">订单明细</definedName>
    <definedName name="_xlcn.WorksheetConnection_商品分析周会模板2022.1.24.xlsx订单明细1" localSheetId="9" hidden="1">订单明细</definedName>
    <definedName name="_xlcn.WorksheetConnection_商品分析周会模板2022.1.24.xlsx订单明细1" hidden="1">订单明细</definedName>
    <definedName name="_YF62" localSheetId="14">#REF!</definedName>
    <definedName name="_YF62" localSheetId="9">#REF!</definedName>
    <definedName name="_YF62">#REF!</definedName>
    <definedName name="a" localSheetId="14">#REF!</definedName>
    <definedName name="a" localSheetId="9">#REF!</definedName>
    <definedName name="a">#REF!</definedName>
    <definedName name="aa" localSheetId="14">#REF!</definedName>
    <definedName name="aa" localSheetId="9">#REF!</definedName>
    <definedName name="aa">#REF!</definedName>
    <definedName name="ai" localSheetId="14">#REF!</definedName>
    <definedName name="ai" localSheetId="9">#REF!</definedName>
    <definedName name="ai">#REF!</definedName>
    <definedName name="d" localSheetId="14">#REF!</definedName>
    <definedName name="d" localSheetId="9">#REF!</definedName>
    <definedName name="d">#REF!</definedName>
    <definedName name="fd" localSheetId="14">#REF!</definedName>
    <definedName name="fd" localSheetId="9">#REF!</definedName>
    <definedName name="fd">#REF!</definedName>
    <definedName name="_xlnm.Print_Area" localSheetId="14">儿童乳品组提成系数!#REF!</definedName>
    <definedName name="UFPrn20041029131906">[1]调料!$A$1:$J$144</definedName>
    <definedName name="UFPrn20050216095615" localSheetId="14">#REF!</definedName>
    <definedName name="UFPrn20050216095615" localSheetId="9">#REF!</definedName>
    <definedName name="UFPrn20050216095615">#REF!</definedName>
    <definedName name="UFPrn20050307135853">[2]五金修理!$A$1:$H$28</definedName>
    <definedName name="UFPrn20050405115938">[3]五金修理!$A$1:$H$32</definedName>
    <definedName name="UFPrn20050531234857" localSheetId="14">#REF!</definedName>
    <definedName name="UFPrn20050531234857" localSheetId="9">#REF!</definedName>
    <definedName name="UFPrn20050531234857">#REF!</definedName>
    <definedName name="UFPrn20050604102429">[4]五金修理!$A$1:$H$38</definedName>
    <definedName name="UFPrn20051112111507" localSheetId="14">#REF!</definedName>
    <definedName name="UFPrn20051112111507" localSheetId="9">#REF!</definedName>
    <definedName name="UFPrn20051112111507">#REF!</definedName>
    <definedName name="UFPrn20051115100611" localSheetId="14">#REF!</definedName>
    <definedName name="UFPrn20051115100611" localSheetId="9">#REF!</definedName>
    <definedName name="UFPrn20051115100611">#REF!</definedName>
    <definedName name="UFPrn20051116113943" localSheetId="14">#REF!</definedName>
    <definedName name="UFPrn20051116113943" localSheetId="9">#REF!</definedName>
    <definedName name="UFPrn20051116113943">#REF!</definedName>
    <definedName name="UFPrn20051130140252" localSheetId="14">#REF!</definedName>
    <definedName name="UFPrn20051130140252" localSheetId="9">#REF!</definedName>
    <definedName name="UFPrn20051130140252">#REF!</definedName>
    <definedName name="UFPrn20051130140918" localSheetId="14">#REF!</definedName>
    <definedName name="UFPrn20051130140918" localSheetId="9">#REF!</definedName>
    <definedName name="UFPrn20051130140918">#REF!</definedName>
    <definedName name="UFPrn20051130153829" localSheetId="14">#REF!</definedName>
    <definedName name="UFPrn20051130153829" localSheetId="9">#REF!</definedName>
    <definedName name="UFPrn20051130153829">#REF!</definedName>
    <definedName name="UFPrn20051205152128" localSheetId="14">#REF!</definedName>
    <definedName name="UFPrn20051205152128" localSheetId="9">#REF!</definedName>
    <definedName name="UFPrn20051205152128">#REF!</definedName>
    <definedName name="UFPrn20051206142109" localSheetId="14">#REF!</definedName>
    <definedName name="UFPrn20051206142109" localSheetId="9">#REF!</definedName>
    <definedName name="UFPrn20051206142109">#REF!</definedName>
    <definedName name="UFPrn20051206142133" localSheetId="14">#REF!</definedName>
    <definedName name="UFPrn20051206142133" localSheetId="9">#REF!</definedName>
    <definedName name="UFPrn20051206142133">#REF!</definedName>
    <definedName name="UFPrn20051208163508" localSheetId="14">#REF!</definedName>
    <definedName name="UFPrn20051208163508" localSheetId="9">#REF!</definedName>
    <definedName name="UFPrn20051208163508">#REF!</definedName>
    <definedName name="UFPrn20051208163649" localSheetId="14">#REF!</definedName>
    <definedName name="UFPrn20051208163649" localSheetId="9">#REF!</definedName>
    <definedName name="UFPrn20051208163649">#REF!</definedName>
    <definedName name="UFPrn20051231133804" localSheetId="14">#REF!</definedName>
    <definedName name="UFPrn20051231133804" localSheetId="9">#REF!</definedName>
    <definedName name="UFPrn20051231133804">#REF!</definedName>
    <definedName name="UFPrn20051231133828" localSheetId="14">#REF!</definedName>
    <definedName name="UFPrn20051231133828" localSheetId="9">#REF!</definedName>
    <definedName name="UFPrn20051231133828">#REF!</definedName>
    <definedName name="UFPrn20051231133858" localSheetId="14">#REF!</definedName>
    <definedName name="UFPrn20051231133858" localSheetId="9">#REF!</definedName>
    <definedName name="UFPrn20051231133858">#REF!</definedName>
    <definedName name="UFPrn20051231134621" localSheetId="14">#REF!</definedName>
    <definedName name="UFPrn20051231134621" localSheetId="9">#REF!</definedName>
    <definedName name="UFPrn20051231134621">#REF!</definedName>
    <definedName name="UFPrn20060102184637" localSheetId="14">#REF!</definedName>
    <definedName name="UFPrn20060102184637" localSheetId="9">#REF!</definedName>
    <definedName name="UFPrn20060102184637">#REF!</definedName>
    <definedName name="UFPrn20060102184746" localSheetId="14">#REF!</definedName>
    <definedName name="UFPrn20060102184746" localSheetId="9">#REF!</definedName>
    <definedName name="UFPrn20060102184746">#REF!</definedName>
    <definedName name="UFPrn20060104215017" localSheetId="14">#REF!</definedName>
    <definedName name="UFPrn20060104215017" localSheetId="9">#REF!</definedName>
    <definedName name="UFPrn20060104215017">#REF!</definedName>
    <definedName name="UFPrn20060104221403" localSheetId="14">#REF!</definedName>
    <definedName name="UFPrn20060104221403" localSheetId="9">#REF!</definedName>
    <definedName name="UFPrn20060104221403">#REF!</definedName>
    <definedName name="UFPrn20060105154236" localSheetId="14">#REF!</definedName>
    <definedName name="UFPrn20060105154236" localSheetId="9">#REF!</definedName>
    <definedName name="UFPrn20060105154236">#REF!</definedName>
    <definedName name="UFPrn20060105154306" localSheetId="14">#REF!</definedName>
    <definedName name="UFPrn20060105154306" localSheetId="9">#REF!</definedName>
    <definedName name="UFPrn20060105154306">#REF!</definedName>
    <definedName name="UFPrn20060112094127" localSheetId="14">#REF!</definedName>
    <definedName name="UFPrn20060112094127" localSheetId="9">#REF!</definedName>
    <definedName name="UFPrn20060112094127">#REF!</definedName>
    <definedName name="X" localSheetId="14">#REF!</definedName>
    <definedName name="X" localSheetId="9">#REF!</definedName>
    <definedName name="X">#REF!</definedName>
    <definedName name="啊啊" localSheetId="14">#REF!</definedName>
    <definedName name="啊啊" localSheetId="9">#REF!</definedName>
    <definedName name="啊啊">#REF!</definedName>
    <definedName name="吧" localSheetId="14">#REF!</definedName>
    <definedName name="吧" localSheetId="9">#REF!</definedName>
    <definedName name="吧">#REF!</definedName>
    <definedName name="橙子葡萄" localSheetId="14">#REF!</definedName>
    <definedName name="橙子葡萄" localSheetId="9">#REF!</definedName>
    <definedName name="橙子葡萄">#REF!</definedName>
    <definedName name="地方" localSheetId="14">#REF!</definedName>
    <definedName name="地方" localSheetId="9">#REF!</definedName>
    <definedName name="地方">#REF!</definedName>
    <definedName name="额" localSheetId="14">#REF!</definedName>
    <definedName name="额" localSheetId="9">#REF!</definedName>
    <definedName name="额">#REF!</definedName>
    <definedName name="噶4" localSheetId="14">#REF!</definedName>
    <definedName name="噶4" localSheetId="9">#REF!</definedName>
    <definedName name="噶4">#REF!</definedName>
    <definedName name="利乐标准" localSheetId="14">#REF!</definedName>
    <definedName name="利乐标准" localSheetId="9">#REF!</definedName>
    <definedName name="利乐标准">#REF!</definedName>
    <definedName name="米果" localSheetId="14">#REF!</definedName>
    <definedName name="米果" localSheetId="9">#REF!</definedName>
    <definedName name="米果">#REF!</definedName>
    <definedName name="其他" localSheetId="14">#REF!</definedName>
    <definedName name="其他" localSheetId="9">#REF!</definedName>
    <definedName name="其他">#REF!</definedName>
    <definedName name="其他1" localSheetId="14">#REF!</definedName>
    <definedName name="其他1" localSheetId="9">#REF!</definedName>
    <definedName name="其他1">#REF!</definedName>
    <definedName name="是" localSheetId="14">#REF!</definedName>
    <definedName name="是" localSheetId="9">#REF!</definedName>
    <definedName name="是">#REF!</definedName>
    <definedName name="我" localSheetId="14">#REF!</definedName>
    <definedName name="我" localSheetId="9">#REF!</definedName>
    <definedName name="我">#REF!</definedName>
    <definedName name="线别产值分析" localSheetId="14">#REF!</definedName>
    <definedName name="线别产值分析" localSheetId="9">#REF!</definedName>
    <definedName name="线别产值分析">#REF!</definedName>
    <definedName name="新品" localSheetId="14">#REF!</definedName>
    <definedName name="新品" localSheetId="9">#REF!</definedName>
    <definedName name="新品">#REF!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7" i="5" l="1"/>
  <c r="E8" i="5"/>
  <c r="E9" i="5"/>
  <c r="E10" i="5"/>
  <c r="E11" i="5"/>
  <c r="E12" i="5"/>
  <c r="E13" i="5"/>
  <c r="E14" i="5"/>
  <c r="E15" i="5"/>
  <c r="E16" i="5"/>
  <c r="E17" i="5"/>
  <c r="E18" i="5"/>
  <c r="E19" i="5"/>
  <c r="E20" i="5"/>
  <c r="E21" i="5"/>
  <c r="C7" i="5"/>
  <c r="F6" i="5"/>
  <c r="F7" i="5"/>
  <c r="C8" i="5"/>
  <c r="C9" i="5"/>
  <c r="F8" i="5"/>
  <c r="C10" i="5"/>
  <c r="F9" i="5"/>
  <c r="C11" i="5"/>
  <c r="F10" i="5"/>
  <c r="C12" i="5"/>
  <c r="F11" i="5"/>
  <c r="C13" i="5"/>
  <c r="F12" i="5"/>
  <c r="C14" i="5"/>
  <c r="F13" i="5"/>
  <c r="C15" i="5"/>
  <c r="F14" i="5"/>
  <c r="C16" i="5"/>
  <c r="F15" i="5"/>
  <c r="F16" i="5"/>
  <c r="C17" i="5"/>
  <c r="C18" i="5"/>
  <c r="F17" i="5"/>
  <c r="C19" i="5"/>
  <c r="F18" i="5"/>
  <c r="F19" i="5"/>
  <c r="C20" i="5"/>
  <c r="C21" i="5"/>
  <c r="F21" i="5"/>
  <c r="F20" i="5"/>
</calcChain>
</file>

<file path=xl/sharedStrings.xml><?xml version="1.0" encoding="utf-8"?>
<sst xmlns="http://schemas.openxmlformats.org/spreadsheetml/2006/main" count="807" uniqueCount="466">
  <si>
    <t>岗位</t>
  </si>
  <si>
    <t>提成</t>
  </si>
  <si>
    <t>季度目标达成 提成激励奖</t>
  </si>
  <si>
    <t>季度目标 团队奖</t>
  </si>
  <si>
    <t>大区总监</t>
  </si>
  <si>
    <t>季度目标达成 奖金补贴</t>
  </si>
  <si>
    <t>区域总监</t>
  </si>
  <si>
    <t>季度目标团队奖</t>
  </si>
  <si>
    <t>客户主任</t>
  </si>
  <si>
    <t>儿童乳品组</t>
  </si>
  <si>
    <t>岗责</t>
  </si>
  <si>
    <t>组织</t>
  </si>
  <si>
    <t>职位定位</t>
  </si>
  <si>
    <t>功能权限</t>
  </si>
  <si>
    <t>其他</t>
  </si>
  <si>
    <t>全国</t>
  </si>
  <si>
    <t>产品组主管</t>
  </si>
  <si>
    <t>-</t>
  </si>
  <si>
    <t>大区</t>
  </si>
  <si>
    <t>经营者、领导者、决策者、执行者、鞭策者、监督者
能主导战区业务发展，制定销售策略，带领团队，拿到业绩结果，为战区盈利负责。
1、目标的拆解与达成；
2、业务方法和策略的制定；
3、路径追踪与监督掌控；
4、资源整合；
5、团队管理能力；
6、责任意识。</t>
  </si>
  <si>
    <t>代合伙人申请开票；
代合伙人申请经销合同；
可拜访（增加通关密码）；
可分享合伙人招募建档链接；
可进行客户建档（挂营业所）；
展示可销商品（可看到合伙人供货价）；
不可下常态订单和预订单、可下试吃订单（可销品项）；
代客户申请升级为合伙人（仅支持审核通过的意向经销商客户）；</t>
  </si>
  <si>
    <t>签约第三方期间：社保公积金（当地最低标准）
签约旺旺期间：正常缴纳；(正常标准缴纳）
转签旺旺规则：
当前岗位在职满3个月后由leo评估</t>
  </si>
  <si>
    <t>省区</t>
  </si>
  <si>
    <t>省区总监</t>
  </si>
  <si>
    <t xml:space="preserve">1、以分公司为作业范围，协助造旺总督导经营当地市场，管理当地城市经理及合伙人；
2、带领、辅导、管控业务团队达成业绩指标；
3、促进新品推广，提升市场氛围，维护市场秩序；
4、协助决策层制定分公司发展战略，负责分公司产品品牌市场短期及长期的战略和策略；
5、分析当前销售体系及销售渠道的市场潜力、销售数据和市场费用、用人费用，测算盈亏情况，制定和调整业务人员结构、销售政策；
6、合规性稽核：城市经理真实性、城市经理作业规范性、各类型合伙人真实性、合伙人作业规范性、客户真实性的把控及稽核；
7、组织目标市场、竞争态势、客户需求等调研，撰写市场分析报告；"
</t>
  </si>
  <si>
    <t>分公司</t>
  </si>
  <si>
    <t>营业所</t>
  </si>
  <si>
    <t>区域经理</t>
  </si>
  <si>
    <t>1、负责市场渠道开拓，招募合伙人、重点客户及渠道的维系与管理；扶持合伙人做大做强，跟线别铺货协助客户谈判网点
2、负责所在区域内年度销售目标的制定与分解；制定与实施市场销售计划，完成当月销售目标；
3、完善所辖区域重点终端客户进店陈列，执行、追踪、稽核；
4、管理销售队伍，进行客户及相关人员的培训；
5、市场费用投放规划及管控、稽核；
6、市场数据调研收集：竞企信息收集、竞品信息收集、新品调研、市场环境调研等。</t>
  </si>
  <si>
    <r>
      <rPr>
        <sz val="9"/>
        <color theme="1"/>
        <rFont val="微软雅黑"/>
        <family val="2"/>
        <charset val="134"/>
      </rPr>
      <t xml:space="preserve">签约第三方期间：社保公积金（当地最低标准）
签约旺旺期间：正常缴纳；(正常标准缴纳）
</t>
    </r>
    <r>
      <rPr>
        <b/>
        <sz val="9"/>
        <color theme="1"/>
        <rFont val="微软雅黑"/>
        <family val="2"/>
        <charset val="134"/>
      </rPr>
      <t xml:space="preserve">
说明：</t>
    </r>
    <r>
      <rPr>
        <sz val="9"/>
        <color theme="1"/>
        <rFont val="微软雅黑"/>
        <family val="2"/>
        <charset val="134"/>
      </rPr>
      <t xml:space="preserve">
男性45岁以上不予转签，女性42岁以上不予转签；</t>
    </r>
  </si>
  <si>
    <t>"一、销售管理与生意达成
1、业绩目标管理：作为辖区生意的第一责任人，对销售指标及回款负全责。制定客户销售计划与出库铺货方案，持续跟进合伙人业绩进度及订单落实，确保库存处于健康周转状态。
2、市场策略复盘：定期组织生意复盘会议，诊断业绩缺口，制定针对性的提升方案，驱动区域生意持续增长。
二、市场建设与终端运营
1、网点开发与维护：追踪终端网点的开发与维护，致力于提升网点数量与质量，打造核心标杆网点。
2、动销与品牌执行：制定并执行终端动销方案，加快产品回转；落实品牌推广活动，抢占优势陈列资源，提升品牌形象与市场能见度。
一线实地管理：坚持“跟车铺市”与“跟线辅导”，深入一线发现并解决实际问题，确保公司政策在终端的有效落地。
三、团队赋能与精细化管理
1、团队组建与发展：负责业务BD队伍的组建、优化与人才梯队建设，实现团队规模与战斗力的双重提升。
2、过程指标管控：实施精细化的团队管理，包括BD的日/周/月度销量追踪、数据统计及绩效辅导，定期提供培训以提升作业规范。
四、市场秩序与风控合规
1、价格与秩序管控：监控市场价格体系，严防窜货与乱价行为，维护良好的市场秩序；收集竞品动态，为决策提供支持。
2、费用与售后风控：监控公司费用在市场端的落地执行，全面管控陈列点位的提报与检核；精细化管控产品售后回调，统计并分析回调率走势，协助合伙人消化临期产品，降低经营损耗。"</t>
  </si>
  <si>
    <t>业务BD
（全职/承揽/兼职）</t>
  </si>
  <si>
    <t>1、协助合伙人开拓终端网点、维护终端网点；
2、协助合伙人铺货、陈列、售后、盘点库存；
3、协助城市经理获取市场反馈、产品建议。</t>
  </si>
  <si>
    <t>导购</t>
  </si>
  <si>
    <t>小标市场</t>
  </si>
  <si>
    <t>合伙人</t>
  </si>
  <si>
    <t>1、合伙人：经销商，必须有真实营业执照、有车、有仓库；
2、合伙人不可跨营业所，一个合伙人可负责多个小标，一个小标可按照渠道划分由多个合伙人同时负责。
3、合伙人所挂营业所必须符合造旺组织架构对应关系，可根据合伙人四级地所在地通过sfa后台市场管理中核实客户归属营业所；</t>
  </si>
  <si>
    <t>可拜访；
可自囤下单、可下试吃单；
可进行客户建档（挂自己名下）；
展示可销（可看到合伙人供货价）；
可陈列申请、条码费申请、售后申请；
不可分享下单；
不可帮客户储值；</t>
  </si>
  <si>
    <t>建档客户</t>
  </si>
  <si>
    <t>1、建档客户分为意向客户【不可下单可陈列】、潜在客户【不可下单不可陈列】；
意向客户：终端（现代渠道、传统渠道、特通渠道、餐饮渠道）、经销商；
潜在客户：终端（现代渠道、传统渠道、特通渠道、餐饮渠道）、经销商；
2、建档客户不可跨营业所，可归属于合伙人或区域经理，一个意向客户可负责多个小标、一个小标可由多个意向客户负责，潜在客户不受小标限制。</t>
  </si>
  <si>
    <t>产品组岗位管理细则</t>
  </si>
  <si>
    <r>
      <rPr>
        <sz val="12"/>
        <color theme="4"/>
        <rFont val="微软雅黑"/>
        <family val="2"/>
        <charset val="134"/>
      </rPr>
      <t>蓝色字体</t>
    </r>
    <r>
      <rPr>
        <sz val="12"/>
        <color theme="1"/>
        <rFont val="微软雅黑"/>
        <family val="2"/>
        <charset val="134"/>
      </rPr>
      <t>区域为不启动区域</t>
    </r>
  </si>
  <si>
    <t>业务入职要求</t>
  </si>
  <si>
    <t>区域划分</t>
  </si>
  <si>
    <t>华东区</t>
  </si>
  <si>
    <t>现有营业所</t>
  </si>
  <si>
    <t>滨海区</t>
  </si>
  <si>
    <t>安徽省、福建省、江西省、山东省</t>
  </si>
  <si>
    <t>合肥分、安庆分、福州分、泉州分、南昌分、宜春分、济南分、济宁分、临沂分、青岛分</t>
  </si>
  <si>
    <t>华中区</t>
  </si>
  <si>
    <t>湖北省、湖南省、河南省</t>
  </si>
  <si>
    <t>"衡阳分、武汉分、宜昌分、长沙分
安阳分、漯河分、郑州分、驻马店分"</t>
  </si>
  <si>
    <t>东北区</t>
  </si>
  <si>
    <t>辽宁省、吉林省、黑龙江省</t>
  </si>
  <si>
    <t>沈阳分、营口分、长春分、哈尔滨分</t>
  </si>
  <si>
    <t>华北区</t>
  </si>
  <si>
    <r>
      <rPr>
        <sz val="9"/>
        <color theme="1"/>
        <rFont val="微软雅黑"/>
        <family val="2"/>
        <charset val="134"/>
      </rPr>
      <t>天津市、河北省、山西省、</t>
    </r>
    <r>
      <rPr>
        <sz val="9"/>
        <color theme="4"/>
        <rFont val="微软雅黑"/>
        <family val="2"/>
        <charset val="134"/>
      </rPr>
      <t>内蒙古自治区</t>
    </r>
  </si>
  <si>
    <t>西北区</t>
  </si>
  <si>
    <r>
      <rPr>
        <sz val="9"/>
        <color theme="1"/>
        <rFont val="微软雅黑"/>
        <family val="2"/>
        <charset val="134"/>
      </rPr>
      <t>陕西省、甘肃省、</t>
    </r>
    <r>
      <rPr>
        <sz val="9"/>
        <color theme="4"/>
        <rFont val="微软雅黑"/>
        <family val="2"/>
        <charset val="134"/>
      </rPr>
      <t>宁夏回族自治区、青海省、新疆维吾尔自治区、西藏自治区</t>
    </r>
  </si>
  <si>
    <t>岗位配置</t>
  </si>
  <si>
    <t>岗位开放</t>
  </si>
  <si>
    <t>招聘管控</t>
  </si>
  <si>
    <t>无管控</t>
  </si>
  <si>
    <t>转签要求</t>
  </si>
  <si>
    <r>
      <rPr>
        <sz val="11"/>
        <color theme="1"/>
        <rFont val="微软雅黑"/>
        <family val="2"/>
        <charset val="134"/>
      </rPr>
      <t>岗位开放</t>
    </r>
    <r>
      <rPr>
        <sz val="11"/>
        <color rgb="FFFF0000"/>
        <rFont val="微软雅黑"/>
        <family val="2"/>
        <charset val="134"/>
      </rPr>
      <t xml:space="preserve">
</t>
    </r>
    <r>
      <rPr>
        <sz val="11"/>
        <color theme="4"/>
        <rFont val="微软雅黑"/>
        <family val="2"/>
        <charset val="134"/>
      </rPr>
      <t>北京、上海、内蒙、辽宁、吉林、黑龙江、西藏、宁夏、青海、新疆、陕西、甘肃、海南不启动</t>
    </r>
  </si>
  <si>
    <r>
      <rPr>
        <sz val="11"/>
        <color theme="1"/>
        <rFont val="微软雅黑"/>
        <family val="2"/>
        <charset val="134"/>
      </rPr>
      <t xml:space="preserve">岗位开放
</t>
    </r>
    <r>
      <rPr>
        <sz val="11"/>
        <color theme="4"/>
        <rFont val="微软雅黑"/>
        <family val="2"/>
        <charset val="134"/>
      </rPr>
      <t>北京、上海、内蒙、辽宁、吉林、黑龙江、西藏、宁夏、青海、新疆、陕西、甘肃、海南不启动</t>
    </r>
  </si>
  <si>
    <t>兼岗管控</t>
  </si>
  <si>
    <t>试岗要求</t>
  </si>
  <si>
    <t>无要求</t>
  </si>
  <si>
    <t>业务支持</t>
  </si>
  <si>
    <t>业务BD</t>
  </si>
  <si>
    <t>编制管控规则</t>
  </si>
  <si>
    <t>人员配置</t>
  </si>
  <si>
    <t>绩效基数</t>
  </si>
  <si>
    <t>业绩目标达成率</t>
  </si>
  <si>
    <t>100%-125%</t>
  </si>
  <si>
    <t>125%以上</t>
  </si>
  <si>
    <t>产品组</t>
  </si>
  <si>
    <t>排名</t>
  </si>
  <si>
    <t>业绩达成</t>
  </si>
  <si>
    <t>季度提成</t>
  </si>
  <si>
    <t>季度目标达成奖金</t>
  </si>
  <si>
    <t>业绩体量 系数激励倍数</t>
  </si>
  <si>
    <t>目标达成率</t>
  </si>
  <si>
    <t>提成系数激励倍数</t>
  </si>
  <si>
    <t>奖励基数</t>
  </si>
  <si>
    <t>6000元</t>
  </si>
  <si>
    <t>8000元</t>
  </si>
  <si>
    <t>10000元</t>
  </si>
  <si>
    <t xml:space="preserve"> 大区总监 方案</t>
  </si>
  <si>
    <t>1、造旺 大区总监常态底薪方案</t>
  </si>
  <si>
    <t>职级</t>
  </si>
  <si>
    <t>核定薪资</t>
  </si>
  <si>
    <t>职务加给</t>
  </si>
  <si>
    <t>岗位津贴</t>
  </si>
  <si>
    <t>合计底薪</t>
  </si>
  <si>
    <t>晋升规则</t>
  </si>
  <si>
    <t>S20</t>
  </si>
  <si>
    <t>S21</t>
  </si>
  <si>
    <t>S22</t>
  </si>
  <si>
    <t>S23</t>
  </si>
  <si>
    <t>S24</t>
  </si>
  <si>
    <t>S25</t>
  </si>
  <si>
    <t>S26</t>
  </si>
  <si>
    <t>S27</t>
  </si>
  <si>
    <t>S28</t>
  </si>
  <si>
    <t>S29</t>
  </si>
  <si>
    <t>S30</t>
  </si>
  <si>
    <t>S31</t>
  </si>
  <si>
    <t>S32</t>
  </si>
  <si>
    <t>S33</t>
  </si>
  <si>
    <t>S34</t>
  </si>
  <si>
    <t>S35</t>
  </si>
  <si>
    <t>2、提成&amp;绩效奖金方案</t>
  </si>
  <si>
    <t>季度直接利润排名奖</t>
  </si>
  <si>
    <t>500万以下</t>
  </si>
  <si>
    <t>500万（含）-1500万</t>
  </si>
  <si>
    <t>1500万（含）-3000万</t>
  </si>
  <si>
    <t>3000万及以上</t>
  </si>
  <si>
    <t>主管评分</t>
  </si>
  <si>
    <t>分数</t>
  </si>
  <si>
    <t>奖金</t>
  </si>
  <si>
    <t>0-10分</t>
  </si>
  <si>
    <t>底薪*20%</t>
  </si>
  <si>
    <t>底薪*20%*100%</t>
  </si>
  <si>
    <t>第一名</t>
  </si>
  <si>
    <t>底薪*20%*90%</t>
  </si>
  <si>
    <t>第二名</t>
  </si>
  <si>
    <t>底薪*20%*80%</t>
  </si>
  <si>
    <t>第三名</t>
  </si>
  <si>
    <t>底薪*20%*60%</t>
  </si>
  <si>
    <t>第四名</t>
  </si>
  <si>
    <t>底薪*20%*40%</t>
  </si>
  <si>
    <t>第五名</t>
  </si>
  <si>
    <t>底薪*20%*20%</t>
  </si>
  <si>
    <t>奖励</t>
  </si>
  <si>
    <t>省区总监 奖金方案</t>
  </si>
  <si>
    <t>1、造旺 省区总监常态底薪方案</t>
  </si>
  <si>
    <t>产品组区域总监</t>
  </si>
  <si>
    <t>城市等级</t>
  </si>
  <si>
    <t>1类</t>
  </si>
  <si>
    <t>北京、上海、广东、重庆、江苏、浙江、福建</t>
  </si>
  <si>
    <t>非1类</t>
  </si>
  <si>
    <t>其余省份</t>
  </si>
  <si>
    <t>底薪</t>
  </si>
  <si>
    <r>
      <rPr>
        <b/>
        <sz val="14"/>
        <color rgb="FFFFFF00"/>
        <rFont val="微软雅黑"/>
        <family val="2"/>
        <charset val="134"/>
      </rPr>
      <t xml:space="preserve">一类
</t>
    </r>
    <r>
      <rPr>
        <b/>
        <sz val="14"/>
        <color theme="0"/>
        <rFont val="微软雅黑"/>
        <family val="2"/>
        <charset val="134"/>
      </rPr>
      <t>权限</t>
    </r>
  </si>
  <si>
    <r>
      <rPr>
        <b/>
        <sz val="14"/>
        <color rgb="FFFFFF00"/>
        <rFont val="微软雅黑"/>
        <family val="2"/>
        <charset val="134"/>
      </rPr>
      <t xml:space="preserve">非一类
</t>
    </r>
    <r>
      <rPr>
        <b/>
        <sz val="14"/>
        <color theme="0"/>
        <rFont val="微软雅黑"/>
        <family val="2"/>
        <charset val="134"/>
      </rPr>
      <t>权限</t>
    </r>
  </si>
  <si>
    <t>调薪规则</t>
  </si>
  <si>
    <t>S01</t>
  </si>
  <si>
    <t>S02</t>
  </si>
  <si>
    <t>S03</t>
  </si>
  <si>
    <t>S04</t>
  </si>
  <si>
    <t>S05</t>
  </si>
  <si>
    <t>S06</t>
  </si>
  <si>
    <t>S07</t>
  </si>
  <si>
    <t>S08</t>
  </si>
  <si>
    <t>S09</t>
  </si>
  <si>
    <t>S10</t>
  </si>
  <si>
    <t>S11</t>
  </si>
  <si>
    <t>人资</t>
  </si>
  <si>
    <t>S12</t>
  </si>
  <si>
    <t>S13</t>
  </si>
  <si>
    <t>S14</t>
  </si>
  <si>
    <t>S15</t>
  </si>
  <si>
    <t>S16</t>
  </si>
  <si>
    <t>组别主管</t>
  </si>
  <si>
    <t>S17</t>
  </si>
  <si>
    <t>S18</t>
  </si>
  <si>
    <t>单位主管</t>
  </si>
  <si>
    <t>S19</t>
  </si>
  <si>
    <t>主管评分奖金</t>
  </si>
  <si>
    <t>季度目标达成提成激励奖金</t>
  </si>
  <si>
    <t>大区季度目标达成率</t>
  </si>
  <si>
    <t>省区季度目标达成率</t>
  </si>
  <si>
    <t>提成系数提升倍数</t>
  </si>
  <si>
    <t>400万以下</t>
  </si>
  <si>
    <t>400万（含）-800万</t>
  </si>
  <si>
    <t>800万（含）-1600万</t>
  </si>
  <si>
    <t>1600万及以上</t>
  </si>
  <si>
    <t>4000元</t>
  </si>
  <si>
    <t>5000元</t>
  </si>
  <si>
    <r>
      <rPr>
        <b/>
        <sz val="20"/>
        <color rgb="FF0070C0"/>
        <rFont val="微软雅黑"/>
        <family val="2"/>
        <charset val="134"/>
      </rPr>
      <t xml:space="preserve">  </t>
    </r>
    <r>
      <rPr>
        <b/>
        <sz val="36"/>
        <color rgb="FF0070C0"/>
        <rFont val="微软雅黑"/>
        <family val="2"/>
        <charset val="134"/>
      </rPr>
      <t>区域总监 奖金方案</t>
    </r>
  </si>
  <si>
    <t>1、造旺 区域总监常态底薪方案</t>
  </si>
  <si>
    <t>分公司季度目标达成率</t>
  </si>
  <si>
    <t>区域经理 奖金方案</t>
  </si>
  <si>
    <t>1、造旺 区域经理常态底薪方案</t>
  </si>
  <si>
    <t>儿童乳品组
KA&amp;特通区域经理</t>
  </si>
  <si>
    <r>
      <rPr>
        <b/>
        <sz val="14"/>
        <color rgb="FFFFFF00"/>
        <rFont val="微软雅黑"/>
        <family val="2"/>
        <charset val="134"/>
      </rPr>
      <t xml:space="preserve">一类城市
</t>
    </r>
    <r>
      <rPr>
        <b/>
        <sz val="10"/>
        <color theme="0"/>
        <rFont val="微软雅黑"/>
        <family val="2"/>
        <charset val="134"/>
      </rPr>
      <t>薪资上限</t>
    </r>
  </si>
  <si>
    <r>
      <rPr>
        <b/>
        <sz val="14"/>
        <color rgb="FFFFFF00"/>
        <rFont val="微软雅黑"/>
        <family val="2"/>
        <charset val="134"/>
      </rPr>
      <t xml:space="preserve">非一类城市
</t>
    </r>
    <r>
      <rPr>
        <b/>
        <sz val="10"/>
        <color theme="0"/>
        <rFont val="微软雅黑"/>
        <family val="2"/>
        <charset val="134"/>
      </rPr>
      <t>薪资上限</t>
    </r>
  </si>
  <si>
    <r>
      <rPr>
        <b/>
        <sz val="14"/>
        <color rgb="FFFFFF00"/>
        <rFont val="微软雅黑"/>
        <family val="2"/>
        <charset val="134"/>
      </rPr>
      <t xml:space="preserve">一类
</t>
    </r>
    <r>
      <rPr>
        <b/>
        <sz val="10"/>
        <color theme="0"/>
        <rFont val="微软雅黑"/>
        <family val="2"/>
        <charset val="134"/>
      </rPr>
      <t>权限</t>
    </r>
  </si>
  <si>
    <r>
      <rPr>
        <b/>
        <sz val="14"/>
        <color rgb="FFFFFF00"/>
        <rFont val="微软雅黑"/>
        <family val="2"/>
        <charset val="134"/>
      </rPr>
      <t xml:space="preserve">非一类
</t>
    </r>
    <r>
      <rPr>
        <b/>
        <sz val="10"/>
        <color theme="0"/>
        <rFont val="微软雅黑"/>
        <family val="2"/>
        <charset val="134"/>
      </rPr>
      <t>权限</t>
    </r>
  </si>
  <si>
    <t>营业所季度目标达成率</t>
  </si>
  <si>
    <t>终端覆盖率</t>
  </si>
  <si>
    <t>新开终端数</t>
  </si>
  <si>
    <t>系数</t>
  </si>
  <si>
    <t>P&gt;100%</t>
  </si>
  <si>
    <t>系统调整扣罚</t>
  </si>
  <si>
    <t>系统调整扣罚（绩效奖金扣罚）</t>
  </si>
  <si>
    <t>扣罚对象</t>
  </si>
  <si>
    <t>大区总监、区域总监、区域经理、业务BD</t>
  </si>
  <si>
    <t>扣罚项目</t>
  </si>
  <si>
    <t>因业务自身操作失误或申请突破现有业务规则（非规则调整、规则漏洞、系统BUG等原因）而进行的系统调整，需根据调整需求大小进行扣罚相应旺金币。</t>
  </si>
  <si>
    <t>因业务自身操作失误或申请突破现有业务规则（非规则调整、规则漏洞、系统BUG等原因）而进行的系统调整，需根据调整需求大小进行扣罚绩效奖金，具体到实际扣罚责任人，追溯上两级连带扣罚。</t>
  </si>
  <si>
    <t>扣罚规则</t>
  </si>
  <si>
    <t>需求大小</t>
  </si>
  <si>
    <t>成本规模</t>
  </si>
  <si>
    <t>扣罚旺金币</t>
  </si>
  <si>
    <t>扣罚绩效奖金
（本人扣罚)</t>
  </si>
  <si>
    <t>扣罚绩效奖金
（上级扣罚)</t>
  </si>
  <si>
    <t>扣罚绩效奖金
（上上级扣罚)</t>
  </si>
  <si>
    <t>小</t>
  </si>
  <si>
    <t>1小时内</t>
  </si>
  <si>
    <t>中</t>
  </si>
  <si>
    <t>1-4小时</t>
  </si>
  <si>
    <t>大</t>
  </si>
  <si>
    <t>4-8小时</t>
  </si>
  <si>
    <t>超大</t>
  </si>
  <si>
    <t>超过8小时</t>
  </si>
  <si>
    <t>9月1日取消</t>
  </si>
  <si>
    <t>9月1日生效</t>
  </si>
  <si>
    <t>项目</t>
  </si>
  <si>
    <t>规格</t>
  </si>
  <si>
    <t>306107244600</t>
  </si>
  <si>
    <t>125ml*20*6</t>
  </si>
  <si>
    <t>306107244900</t>
  </si>
  <si>
    <t>306107099500</t>
  </si>
  <si>
    <t>线下窜货扣罚标准&amp;线上售卖扣罚标准</t>
  </si>
  <si>
    <t>线下窜货扣罚标准</t>
  </si>
  <si>
    <t>窜货频次</t>
  </si>
  <si>
    <t>扣罚标准（季度内）</t>
  </si>
  <si>
    <t>第一次</t>
  </si>
  <si>
    <t>第二次</t>
  </si>
  <si>
    <t>第三次及以上</t>
  </si>
  <si>
    <t>扣罚标准</t>
  </si>
  <si>
    <t>扣除绩效奖金800元</t>
  </si>
  <si>
    <t>扣除绩效奖金1200元</t>
  </si>
  <si>
    <t>汰换</t>
  </si>
  <si>
    <t>省区总监、区域总监</t>
  </si>
  <si>
    <t>扣除绩效奖金1000元</t>
  </si>
  <si>
    <t>扣除绩效奖金1500元</t>
  </si>
  <si>
    <t>扣除绩效奖金3000元</t>
  </si>
  <si>
    <t>大区总监、战区总督导</t>
  </si>
  <si>
    <t>扣除绩效奖金2000元</t>
  </si>
  <si>
    <t>扣除绩效奖金4000元</t>
  </si>
  <si>
    <t>线上售卖扣罚标准</t>
  </si>
  <si>
    <t>客户上架情况</t>
  </si>
  <si>
    <t>扣罚金额（区域经理）
（主兼岗均考核）</t>
  </si>
  <si>
    <t>扣罚金额（区域总监）
（主兼岗均考核）</t>
  </si>
  <si>
    <t>扣罚金额（大区总监）
（主兼岗均考核）</t>
  </si>
  <si>
    <t>营业所所辖区域内单一客户线上售卖</t>
  </si>
  <si>
    <t>客户未重复上架</t>
  </si>
  <si>
    <t>按照客户上架产品对应组别和发货地归属进行惩处
（若多区域发货按照营业执照归属地惩处）</t>
  </si>
  <si>
    <t>扣罚20元奖金/每个客户</t>
  </si>
  <si>
    <t>扣罚10元奖金/每个客户</t>
  </si>
  <si>
    <t>扣罚5元奖金/每个客户</t>
  </si>
  <si>
    <t>客户重复上架</t>
  </si>
  <si>
    <t>同一产品组营业所所辖区域内客户一个自然月发现通知下架后再次上架</t>
  </si>
  <si>
    <t>扣罚20元奖金/每再次上架，不设上限</t>
  </si>
  <si>
    <t>扣罚10元奖金/每再次上架，不设上限</t>
  </si>
  <si>
    <t>扣罚5元奖金/每再次上架，不设上限</t>
  </si>
  <si>
    <t>申诉流程</t>
  </si>
  <si>
    <t>线上售卖窜货申请SOP</t>
  </si>
  <si>
    <t>目的</t>
  </si>
  <si>
    <t>为了更好的限制客户线上售卖，增强对线上售卖的客户的管控</t>
  </si>
  <si>
    <t>适用范围</t>
  </si>
  <si>
    <t>造旺所有业务</t>
  </si>
  <si>
    <t>主导部门</t>
  </si>
  <si>
    <t>部门</t>
  </si>
  <si>
    <t>负责人</t>
  </si>
  <si>
    <t>营运管理</t>
  </si>
  <si>
    <t>协作部门</t>
  </si>
  <si>
    <t>职责</t>
  </si>
  <si>
    <t>公布线上售卖客户明细，复核业务人员提供的申诉证据，最终扣罚导入</t>
  </si>
  <si>
    <t>业务人员</t>
  </si>
  <si>
    <t>提交待申述线上售卖扣罚关联客户相关证据</t>
  </si>
  <si>
    <t>流程图</t>
  </si>
  <si>
    <t>步骤</t>
  </si>
  <si>
    <t>说明</t>
  </si>
  <si>
    <t>责任部门</t>
  </si>
  <si>
    <t>step1</t>
  </si>
  <si>
    <t>公布线上售卖客户归属明细</t>
  </si>
  <si>
    <t>每月10号公布上一个月线上售卖客户归属明细表</t>
  </si>
  <si>
    <t>step2</t>
  </si>
  <si>
    <t>提交申诉材料</t>
  </si>
  <si>
    <t>按照要求提交申诉材料（每月10号公布明细后至当月最后一天）</t>
  </si>
  <si>
    <t>step3</t>
  </si>
  <si>
    <t>复核申诉材料</t>
  </si>
  <si>
    <t>每月5号前复核上个月10号至月底大区提交的申诉材料）</t>
  </si>
  <si>
    <t>step4</t>
  </si>
  <si>
    <t>公布复核结果及扣罚明细</t>
  </si>
  <si>
    <t>每月10号公布上月业务人员申诉结果及最终扣罚明细</t>
  </si>
  <si>
    <t>step5</t>
  </si>
  <si>
    <t>最终扣罚</t>
  </si>
  <si>
    <t>线上售卖扣罚在绩效奖金发放时直接扣罚</t>
  </si>
  <si>
    <t>step6</t>
  </si>
  <si>
    <t>step7</t>
  </si>
  <si>
    <t>流程预计完成时效
（天/周/月）</t>
  </si>
  <si>
    <t>备注说明</t>
  </si>
  <si>
    <t>产品编码</t>
  </si>
  <si>
    <t>大区总监 提成系数
%</t>
  </si>
  <si>
    <t>省区总监 提成系数
%</t>
  </si>
  <si>
    <t>区域总监 提成系数
%</t>
  </si>
  <si>
    <t>区域经理 提成系数
%</t>
  </si>
  <si>
    <t>品名</t>
  </si>
  <si>
    <t>口味</t>
  </si>
  <si>
    <t>箱规</t>
  </si>
  <si>
    <t>306107090100</t>
  </si>
  <si>
    <t>306107092000</t>
  </si>
  <si>
    <t>306107139500</t>
  </si>
  <si>
    <t>306107139700</t>
  </si>
  <si>
    <t>原味</t>
  </si>
  <si>
    <t>旺旺香蕉牛奶
（礼盒）</t>
  </si>
  <si>
    <t>旺旺草莓牛奶
（礼盒）</t>
  </si>
  <si>
    <t>香蕉口味</t>
  </si>
  <si>
    <t>草莓口味</t>
  </si>
  <si>
    <t>草莓味</t>
  </si>
  <si>
    <t>旺仔儿童风味酸奶
（礼盒）</t>
  </si>
  <si>
    <t>306107242600</t>
  </si>
  <si>
    <t>旺仔高钙纯牛奶
（礼盒）</t>
  </si>
  <si>
    <t>旺仔高钙纯牛奶
（礼盒）-开箱扫码版</t>
  </si>
  <si>
    <t>306107096900</t>
  </si>
  <si>
    <t>旺仔儿童成长牛乳
（礼盒）</t>
  </si>
  <si>
    <t>旺仔儿童成长牛乳
（礼盒）-开箱扫码版</t>
  </si>
  <si>
    <t>306107243800</t>
  </si>
  <si>
    <t>旺仔A2β酪蛋白纯牛乳
（礼盒）</t>
  </si>
  <si>
    <t>旺仔A2β酪蛋白纯牛乳
（礼盒）-开箱扫码版</t>
  </si>
  <si>
    <t>序号</t>
    <phoneticPr fontId="80" type="noConversion"/>
  </si>
  <si>
    <t>调整类型</t>
    <phoneticPr fontId="80" type="noConversion"/>
  </si>
  <si>
    <t>申请时间</t>
    <phoneticPr fontId="80" type="noConversion"/>
  </si>
  <si>
    <t>规则明细</t>
    <phoneticPr fontId="80" type="noConversion"/>
  </si>
  <si>
    <t>调整产品组</t>
    <phoneticPr fontId="80" type="noConversion"/>
  </si>
  <si>
    <t>当月提交申请，次月生效</t>
    <phoneticPr fontId="80" type="noConversion"/>
  </si>
  <si>
    <t>当月提交申请，次月生效，涉及原产品组兼岗，原兼岗自动取消。</t>
    <phoneticPr fontId="80" type="noConversion"/>
  </si>
  <si>
    <t>调整主岗</t>
    <phoneticPr fontId="80" type="noConversion"/>
  </si>
  <si>
    <t>当月提交申请，次月生效，岗位存在晋升/下降时，原兼岗自动取消。</t>
    <phoneticPr fontId="80" type="noConversion"/>
  </si>
  <si>
    <t>调整薪资</t>
    <phoneticPr fontId="80" type="noConversion"/>
  </si>
  <si>
    <t>-</t>
    <phoneticPr fontId="80" type="noConversion"/>
  </si>
  <si>
    <t>不调整产品组/主岗时，按考勤周期生效，每月10日（含）可选本考勤周期或次考勤周期生效，10日后操作仅可选次考勤周期生效；调整薪资且调整产品组/调整主岗，次月生效。</t>
    <phoneticPr fontId="80" type="noConversion"/>
  </si>
  <si>
    <t>调整兼岗</t>
    <phoneticPr fontId="80" type="noConversion"/>
  </si>
  <si>
    <t>10日（含）前操作本月或次月生效
10日后操作次月生效</t>
    <phoneticPr fontId="80" type="noConversion"/>
  </si>
  <si>
    <t>/</t>
    <phoneticPr fontId="80" type="noConversion"/>
  </si>
  <si>
    <r>
      <t xml:space="preserve">岗位开放
</t>
    </r>
    <r>
      <rPr>
        <sz val="11"/>
        <color theme="4"/>
        <rFont val="微软雅黑"/>
        <family val="2"/>
        <charset val="134"/>
      </rPr>
      <t>北京、上海、内蒙、辽宁、吉林、黑龙江、西藏、宁夏、青海、新疆、陕西、甘肃、海南不启动</t>
    </r>
    <phoneticPr fontId="80" type="noConversion"/>
  </si>
  <si>
    <t>儿童乳品组</t>
    <phoneticPr fontId="80" type="noConversion"/>
  </si>
  <si>
    <t>异常库存扣罚规则</t>
    <phoneticPr fontId="80" type="noConversion"/>
  </si>
  <si>
    <t>川渝区</t>
    <phoneticPr fontId="80" type="noConversion"/>
  </si>
  <si>
    <t>云贵区</t>
    <phoneticPr fontId="80" type="noConversion"/>
  </si>
  <si>
    <t>云南省、贵州省</t>
    <phoneticPr fontId="80" type="noConversion"/>
  </si>
  <si>
    <t>重庆市、四川省</t>
    <phoneticPr fontId="80" type="noConversion"/>
  </si>
  <si>
    <r>
      <rPr>
        <sz val="8"/>
        <color theme="1"/>
        <rFont val="微软雅黑"/>
        <family val="2"/>
        <charset val="134"/>
      </rPr>
      <t>天津分、保定分、石家庄分、太原分</t>
    </r>
    <r>
      <rPr>
        <sz val="8"/>
        <color theme="4"/>
        <rFont val="微软雅黑"/>
        <family val="2"/>
        <charset val="134"/>
      </rPr>
      <t>、包头分</t>
    </r>
    <r>
      <rPr>
        <sz val="8"/>
        <color theme="9" tint="-0.249977111117893"/>
        <rFont val="微软雅黑"/>
        <family val="2"/>
        <charset val="134"/>
      </rPr>
      <t>、承德分、兴安分</t>
    </r>
    <phoneticPr fontId="80" type="noConversion"/>
  </si>
  <si>
    <t>0.00</t>
  </si>
  <si>
    <t>0.50</t>
  </si>
  <si>
    <t>1.00</t>
  </si>
  <si>
    <t>0.25</t>
  </si>
  <si>
    <t>产品组省区总监</t>
    <phoneticPr fontId="80" type="noConversion"/>
  </si>
  <si>
    <r>
      <t xml:space="preserve">大区所在驻地支持招聘区域总监；
</t>
    </r>
    <r>
      <rPr>
        <sz val="11"/>
        <color rgb="FF0070C0"/>
        <rFont val="微软雅黑"/>
        <family val="2"/>
        <charset val="134"/>
      </rPr>
      <t>贵州、云南不配置</t>
    </r>
    <phoneticPr fontId="80" type="noConversion"/>
  </si>
  <si>
    <t>大区总监薪资等级晋级降级规则
1、晋级
（1）晋升周期：每季度初
（2）单位主管直接发起；
（3）大区总监晋升评分表：
a、总评分排名（组内排名前2名薪资可评估晋升）；
b、目标达成率 排名（排名 = 分数，第一名-第八名：8-1分）
c、应有目标达成率 排名（排名 = 分数，第一名-第八名：8-1分）
d、管理岗 月人均业绩（0-5万：5分）（5万+：10分）
总评分为各指标得分汇总
（4）参考指标：盘价业绩 环比增长率 、同比增长率，用人费用率、损益指标
2、降级
（1）降级周期：每季度初
（2）降级考核项
a、应有目标达成率滚动两个季度持续最后一名
b、管理岗人均业绩滚动两个季度持续最后一名
（3）降级规则
a、连续两个季度任意一项最后一名，降1-2级
b、连续两个季度两项均最后一名，降2-4级
（4）其他规则
a、中途调业务组、调岗或入职不考核降级</t>
    <phoneticPr fontId="80" type="noConversion"/>
  </si>
  <si>
    <r>
      <rPr>
        <b/>
        <sz val="12"/>
        <color theme="4"/>
        <rFont val="微软雅黑"/>
        <family val="2"/>
        <charset val="134"/>
      </rPr>
      <t>新增兼岗</t>
    </r>
    <r>
      <rPr>
        <sz val="12"/>
        <color theme="1"/>
        <rFont val="微软雅黑"/>
        <family val="2"/>
        <charset val="134"/>
      </rPr>
      <t>，每月10日（含）可选本月1日或次月1日生效，10日后操作仅可选次月1日生效。</t>
    </r>
    <phoneticPr fontId="80" type="noConversion"/>
  </si>
  <si>
    <t>季度直接利润排名奖</t>
    <phoneticPr fontId="80" type="noConversion"/>
  </si>
  <si>
    <t>重庆分、成都分、乐山分、南充分</t>
    <phoneticPr fontId="80" type="noConversion"/>
  </si>
  <si>
    <t>贵阳分、遵义分、昆明分、大理分</t>
    <phoneticPr fontId="80" type="noConversion"/>
  </si>
  <si>
    <r>
      <rPr>
        <sz val="8"/>
        <color theme="1"/>
        <rFont val="微软雅黑"/>
        <family val="2"/>
        <charset val="134"/>
      </rPr>
      <t>西安分、咸阳分、</t>
    </r>
    <r>
      <rPr>
        <sz val="8"/>
        <color theme="4"/>
        <rFont val="微软雅黑"/>
        <family val="2"/>
        <charset val="134"/>
      </rPr>
      <t>乌鲁木齐分</t>
    </r>
    <r>
      <rPr>
        <sz val="8"/>
        <color theme="1"/>
        <rFont val="微软雅黑"/>
        <family val="2"/>
        <charset val="134"/>
      </rPr>
      <t>、兰州分</t>
    </r>
    <r>
      <rPr>
        <sz val="8"/>
        <color theme="9" tint="-0.249977111117893"/>
        <rFont val="微软雅黑"/>
        <family val="2"/>
        <charset val="134"/>
      </rPr>
      <t>、银川分、西宁分、拉萨分</t>
    </r>
    <phoneticPr fontId="80" type="noConversion"/>
  </si>
  <si>
    <r>
      <rPr>
        <sz val="9"/>
        <color theme="4"/>
        <rFont val="微软雅黑"/>
        <family val="2"/>
        <charset val="134"/>
      </rPr>
      <t>北京市、上海市</t>
    </r>
    <r>
      <rPr>
        <sz val="9"/>
        <color theme="1"/>
        <rFont val="微软雅黑"/>
        <family val="2"/>
        <charset val="134"/>
      </rPr>
      <t>、广东省、江苏省、浙江省、广西壮族自治区、海南省</t>
    </r>
    <phoneticPr fontId="80" type="noConversion"/>
  </si>
  <si>
    <t>北京分、上海分、广州分、汕头分、深圳分、中山分、南京分、淮安分、杭州分、宁波分、温州分、苏州分、柳州分、南宁分、海南分</t>
    <phoneticPr fontId="80" type="noConversion"/>
  </si>
  <si>
    <t>不可兼岗</t>
    <phoneticPr fontId="80" type="noConversion"/>
  </si>
  <si>
    <t>无管控</t>
    <phoneticPr fontId="80" type="noConversion"/>
  </si>
  <si>
    <r>
      <rPr>
        <sz val="11"/>
        <color theme="1"/>
        <rFont val="微软雅黑"/>
        <family val="2"/>
        <charset val="134"/>
      </rPr>
      <t>岗位开放</t>
    </r>
    <r>
      <rPr>
        <sz val="11"/>
        <color rgb="FFFF0000"/>
        <rFont val="微软雅黑"/>
        <family val="2"/>
        <charset val="134"/>
      </rPr>
      <t xml:space="preserve">
</t>
    </r>
    <r>
      <rPr>
        <sz val="11"/>
        <color theme="4"/>
        <rFont val="微软雅黑"/>
        <family val="2"/>
        <charset val="134"/>
      </rPr>
      <t>北京、上海、内蒙、西藏、宁夏、青海、新疆、海南、辽宁、吉林、黑龙江、陕西、甘肃不启动</t>
    </r>
    <phoneticPr fontId="80" type="noConversion"/>
  </si>
  <si>
    <t>10日（含）前操作本月或上月生效
10日后操作本月生效</t>
    <phoneticPr fontId="80" type="noConversion"/>
  </si>
  <si>
    <r>
      <rPr>
        <b/>
        <sz val="12"/>
        <color theme="4"/>
        <rFont val="微软雅黑"/>
        <family val="2"/>
        <charset val="134"/>
      </rPr>
      <t>取消兼岗</t>
    </r>
    <r>
      <rPr>
        <sz val="12"/>
        <color theme="1"/>
        <rFont val="微软雅黑"/>
        <family val="2"/>
        <charset val="134"/>
      </rPr>
      <t>，每月10日（含）可选上月末或本月末生效，10日后操作仅可选本月末生效。</t>
    </r>
    <phoneticPr fontId="80" type="noConversion"/>
  </si>
  <si>
    <t>可兼岗</t>
    <phoneticPr fontId="80" type="noConversion"/>
  </si>
  <si>
    <r>
      <t xml:space="preserve">签约第三方期间：社保公积金（当地最低标准）
签约旺旺期间：正常缴纳；(正常标准缴纳）
</t>
    </r>
    <r>
      <rPr>
        <b/>
        <sz val="9"/>
        <color theme="1"/>
        <rFont val="微软雅黑"/>
        <family val="2"/>
        <charset val="134"/>
      </rPr>
      <t xml:space="preserve">说明：
</t>
    </r>
    <r>
      <rPr>
        <sz val="9"/>
        <color theme="1"/>
        <rFont val="微软雅黑"/>
        <family val="2"/>
        <charset val="134"/>
      </rPr>
      <t>1、如6个月内出现特批，不给予转签旺旺
2、男性45岁以上不予转签，女性42岁以上不予转签；</t>
    </r>
    <phoneticPr fontId="80" type="noConversion"/>
  </si>
  <si>
    <r>
      <t xml:space="preserve">签约第三方期间：社保公积金（当地最低标准）
签约旺旺期间：正常缴纳；(正常标准缴纳）
</t>
    </r>
    <r>
      <rPr>
        <b/>
        <sz val="9"/>
        <color theme="1"/>
        <rFont val="微软雅黑"/>
        <family val="2"/>
        <charset val="134"/>
      </rPr>
      <t xml:space="preserve">
说明：</t>
    </r>
    <r>
      <rPr>
        <sz val="9"/>
        <color theme="1"/>
        <rFont val="微软雅黑"/>
        <family val="2"/>
        <charset val="134"/>
      </rPr>
      <t xml:space="preserve">
1、如6个月内出现特批，不给予转签旺旺
2、男性45岁以上不予转签，女性42岁以上不予转签；</t>
    </r>
    <phoneticPr fontId="80" type="noConversion"/>
  </si>
  <si>
    <t>全国销售总监提成系数(%)</t>
  </si>
  <si>
    <t>306107139100</t>
  </si>
  <si>
    <t>306107138900</t>
  </si>
  <si>
    <t>旺仔风味酸奶
（礼盒）</t>
  </si>
  <si>
    <r>
      <rPr>
        <b/>
        <sz val="24"/>
        <color theme="0"/>
        <rFont val="微软雅黑"/>
        <family val="2"/>
        <charset val="134"/>
      </rPr>
      <t>薪资构成：</t>
    </r>
    <r>
      <rPr>
        <b/>
        <sz val="18"/>
        <color theme="0"/>
        <rFont val="微软雅黑"/>
        <family val="2"/>
        <charset val="134"/>
      </rPr>
      <t>底薪（核定底薪 + 岗位津贴）+ 季度提成 + 季度目标达成提成激励奖金 + 季度目标团队奖</t>
    </r>
    <phoneticPr fontId="80" type="noConversion"/>
  </si>
  <si>
    <t>季度目标达成 奖金补贴</t>
    <phoneticPr fontId="80" type="noConversion"/>
  </si>
  <si>
    <r>
      <rPr>
        <b/>
        <sz val="9"/>
        <color theme="1"/>
        <rFont val="微软雅黑"/>
        <family val="2"/>
        <charset val="134"/>
      </rPr>
      <t>大区总监出勤率说明：</t>
    </r>
    <r>
      <rPr>
        <sz val="9"/>
        <color theme="1"/>
        <rFont val="微软雅黑"/>
        <family val="2"/>
        <charset val="134"/>
      </rPr>
      <t xml:space="preserve">
1、出勤率=实际出勤/应出勤天数；
2、应出勤天数为每月集团规定当月业务应出勤天数；
3、实际出勤分为两部分考核
1）核定底薪+岗位津贴 出勤率 只考核打卡；
2）提成+绩效奖金 出勤率 考核打卡+日会/周会/月会；如无下属在岗，则日会/周会/月会 无需召开，正常打卡则计算出勤率；
</t>
    </r>
    <r>
      <rPr>
        <sz val="9"/>
        <color theme="4"/>
        <rFont val="微软雅黑"/>
        <family val="2"/>
        <charset val="134"/>
      </rPr>
      <t>4、如遇请年假（集团规定年假天数）按照正常出勤计算。
5、非完整月度/季度在职，业绩目标不折算</t>
    </r>
    <phoneticPr fontId="80" type="noConversion"/>
  </si>
  <si>
    <r>
      <rPr>
        <b/>
        <sz val="9"/>
        <color theme="1"/>
        <rFont val="微软雅黑"/>
        <family val="2"/>
        <charset val="134"/>
      </rPr>
      <t>区域总监出勤率说明：</t>
    </r>
    <r>
      <rPr>
        <sz val="9"/>
        <color theme="1"/>
        <rFont val="微软雅黑"/>
        <family val="2"/>
        <charset val="134"/>
      </rPr>
      <t xml:space="preserve">
1、出勤率=实际出勤/应出勤天数；
2、应出勤天数为每月集团规定当月业务应出勤天数；
3、实际出勤分为两部分考核
1）核定底薪+岗位津贴 出勤率 只考核打卡；
2）提成+绩效奖金 出勤率 考核打卡+日会/周会/月会；如无下属在岗，则日会/周会/月会 无需召开，正常打卡则计算出勤率；
4、如遇请年假（集团规定年假天数）按照正常出勤计算。
</t>
    </r>
    <r>
      <rPr>
        <sz val="9"/>
        <color theme="4"/>
        <rFont val="微软雅黑"/>
        <family val="2"/>
        <charset val="134"/>
      </rPr>
      <t>5、非完整月度/季度在职，业绩目标不折算</t>
    </r>
    <phoneticPr fontId="80" type="noConversion"/>
  </si>
  <si>
    <r>
      <t xml:space="preserve">区域经理出勤率说明：
1、出勤率=实际出勤/应出勤天数；
2、应出勤天数为每月集团规定当月业务应出勤天数；
3、实际出勤分为两部分考核
1）核定底薪+岗位津贴 出勤率 只考核打卡；
2）提成+绩效奖金 出勤率 考核打卡，如无下属在岗，则日会/周会/月会 无需召开，正常打卡则计算出勤率；
4、如遇请年假（集团规定年假天数）按照正常出勤计算。
</t>
    </r>
    <r>
      <rPr>
        <sz val="8"/>
        <color theme="4"/>
        <rFont val="微软雅黑"/>
        <family val="2"/>
        <charset val="134"/>
      </rPr>
      <t>5、非完整月度/季度在职，业绩目标不折算</t>
    </r>
    <phoneticPr fontId="80" type="noConversion"/>
  </si>
  <si>
    <r>
      <t xml:space="preserve">每月初，根据近三个月滚动月均业绩核定当月编制。
</t>
    </r>
    <r>
      <rPr>
        <b/>
        <sz val="12"/>
        <color theme="1"/>
        <rFont val="微软雅黑"/>
        <family val="2"/>
        <charset val="134"/>
      </rPr>
      <t>1、核定编制</t>
    </r>
    <r>
      <rPr>
        <sz val="12"/>
        <color theme="1"/>
        <rFont val="微软雅黑"/>
        <family val="2"/>
        <charset val="134"/>
      </rPr>
      <t xml:space="preserve"> = 近1个季度月均业绩 ÷ N万
</t>
    </r>
    <r>
      <rPr>
        <b/>
        <sz val="12"/>
        <color theme="1"/>
        <rFont val="微软雅黑"/>
        <family val="2"/>
        <charset val="134"/>
      </rPr>
      <t>2、缺编</t>
    </r>
    <r>
      <rPr>
        <sz val="12"/>
        <color theme="1"/>
        <rFont val="微软雅黑"/>
        <family val="2"/>
        <charset val="134"/>
      </rPr>
      <t>：应配人数-当前在岗人数</t>
    </r>
    <phoneticPr fontId="80" type="noConversion"/>
  </si>
  <si>
    <t>需更新，按照季度开始滚动
取2个值，上个季度 &amp; 近6个月【主要考虑大小季度】
此页规则合并到 组织架构SHEET</t>
    <phoneticPr fontId="80" type="noConversion"/>
  </si>
  <si>
    <r>
      <rPr>
        <b/>
        <sz val="12"/>
        <color theme="1"/>
        <rFont val="微软雅黑"/>
        <family val="2"/>
        <charset val="134"/>
      </rPr>
      <t>1、计算逻辑：</t>
    </r>
    <r>
      <rPr>
        <sz val="12"/>
        <color theme="1"/>
        <rFont val="微软雅黑"/>
        <family val="2"/>
        <charset val="134"/>
      </rPr>
      <t xml:space="preserve">
</t>
    </r>
    <r>
      <rPr>
        <b/>
        <sz val="12"/>
        <color theme="1"/>
        <rFont val="微软雅黑"/>
        <family val="2"/>
        <charset val="134"/>
      </rPr>
      <t>奖金=（季度提成发放金额-过程扣款）*目标达成率激励倍数*季度出勤率；</t>
    </r>
    <r>
      <rPr>
        <sz val="12"/>
        <color theme="1"/>
        <rFont val="微软雅黑"/>
        <family val="2"/>
        <charset val="134"/>
      </rPr>
      <t xml:space="preserve">
</t>
    </r>
    <r>
      <rPr>
        <sz val="12"/>
        <color rgb="FFFF0000"/>
        <rFont val="微软雅黑"/>
        <family val="2"/>
        <charset val="134"/>
      </rPr>
      <t>（1）主兼岗分开考核；</t>
    </r>
    <r>
      <rPr>
        <sz val="12"/>
        <color theme="1"/>
        <rFont val="微软雅黑"/>
        <family val="2"/>
        <charset val="134"/>
      </rPr>
      <t xml:space="preserve">
</t>
    </r>
    <r>
      <rPr>
        <b/>
        <sz val="12"/>
        <color theme="1"/>
        <rFont val="微软雅黑"/>
        <family val="2"/>
        <charset val="134"/>
      </rPr>
      <t>2、发放规则</t>
    </r>
    <r>
      <rPr>
        <sz val="12"/>
        <color theme="1"/>
        <rFont val="微软雅黑"/>
        <family val="2"/>
        <charset val="134"/>
      </rPr>
      <t xml:space="preserve">
（1）发放周期：季度计算+次季度第二月发放；
（2）季度业绩同比增长率&lt;=0，无奖金；
（3）主岗非完整季度在岗（入职、离职、调岗），奖金不发放；
（4）未设置目标，则无奖金；
（5）</t>
    </r>
    <r>
      <rPr>
        <sz val="12"/>
        <color rgb="FFFF0000"/>
        <rFont val="微软雅黑"/>
        <family val="2"/>
        <charset val="134"/>
      </rPr>
      <t>考勤造假</t>
    </r>
    <r>
      <rPr>
        <sz val="12"/>
        <color theme="1"/>
        <rFont val="微软雅黑"/>
        <family val="2"/>
        <charset val="134"/>
      </rPr>
      <t>：考核月绩效奖金和提成不予发放；</t>
    </r>
    <phoneticPr fontId="80" type="noConversion"/>
  </si>
  <si>
    <r>
      <rPr>
        <b/>
        <sz val="12"/>
        <color theme="1"/>
        <rFont val="微软雅黑"/>
        <family val="2"/>
        <charset val="134"/>
      </rPr>
      <t>1、门槛：大区季度目标达成率≥100%，给予提成奖励系数0.25；
2、计算逻辑</t>
    </r>
    <r>
      <rPr>
        <sz val="12"/>
        <color theme="1"/>
        <rFont val="微软雅黑"/>
        <family val="2"/>
        <charset val="134"/>
      </rPr>
      <t xml:space="preserve">
</t>
    </r>
    <r>
      <rPr>
        <b/>
        <sz val="12"/>
        <color theme="1"/>
        <rFont val="微软雅黑"/>
        <family val="2"/>
        <charset val="134"/>
      </rPr>
      <t xml:space="preserve">奖金=（季度提成发放金额+季度目标达成提成激励奖）*提成系数提升倍数*季度出勤率
</t>
    </r>
    <r>
      <rPr>
        <sz val="12"/>
        <color rgb="FFFF0000"/>
        <rFont val="微软雅黑"/>
        <family val="2"/>
        <charset val="134"/>
      </rPr>
      <t>（1）主兼岗分开考核；</t>
    </r>
    <r>
      <rPr>
        <sz val="12"/>
        <color theme="1"/>
        <rFont val="微软雅黑"/>
        <family val="2"/>
        <charset val="134"/>
      </rPr>
      <t xml:space="preserve">
</t>
    </r>
    <r>
      <rPr>
        <b/>
        <sz val="12"/>
        <color theme="1"/>
        <rFont val="微软雅黑"/>
        <family val="2"/>
        <charset val="134"/>
      </rPr>
      <t xml:space="preserve">3、发放规则
</t>
    </r>
    <r>
      <rPr>
        <sz val="12"/>
        <color theme="1"/>
        <rFont val="微软雅黑"/>
        <family val="2"/>
        <charset val="134"/>
      </rPr>
      <t>（1）发放周期：季度计算+次季度第二月发放
（2）季度业绩同比增长率&lt;=0，无奖金；
（3）主岗非完整季度在岗（入职、离职、调岗），奖金不发放；</t>
    </r>
    <r>
      <rPr>
        <b/>
        <sz val="12"/>
        <color theme="1"/>
        <rFont val="微软雅黑"/>
        <family val="2"/>
        <charset val="134"/>
      </rPr>
      <t xml:space="preserve">
</t>
    </r>
    <r>
      <rPr>
        <sz val="12"/>
        <color theme="1"/>
        <rFont val="微软雅黑"/>
        <family val="2"/>
        <charset val="134"/>
      </rPr>
      <t>（4）</t>
    </r>
    <r>
      <rPr>
        <sz val="12"/>
        <color rgb="FFFF0000"/>
        <rFont val="微软雅黑"/>
        <family val="2"/>
        <charset val="134"/>
      </rPr>
      <t>考勤造假</t>
    </r>
    <r>
      <rPr>
        <sz val="12"/>
        <color theme="1"/>
        <rFont val="微软雅黑"/>
        <family val="2"/>
        <charset val="134"/>
      </rPr>
      <t>：无奖金；
（5）未设置目标，则无奖金；</t>
    </r>
    <phoneticPr fontId="80" type="noConversion"/>
  </si>
  <si>
    <r>
      <rPr>
        <b/>
        <sz val="12"/>
        <color theme="1"/>
        <rFont val="微软雅黑"/>
        <family val="2"/>
        <charset val="134"/>
      </rPr>
      <t xml:space="preserve">1、计算逻辑
奖金=目标达成率的奖金基数*业绩体量系数*季度出勤率
</t>
    </r>
    <r>
      <rPr>
        <sz val="12"/>
        <color theme="1"/>
        <rFont val="微软雅黑"/>
        <family val="2"/>
        <charset val="134"/>
      </rPr>
      <t>（1）</t>
    </r>
    <r>
      <rPr>
        <sz val="12"/>
        <color rgb="FFFF0000"/>
        <rFont val="微软雅黑"/>
        <family val="2"/>
        <charset val="134"/>
      </rPr>
      <t>仅主岗参与考核；</t>
    </r>
    <r>
      <rPr>
        <sz val="12"/>
        <color theme="1"/>
        <rFont val="微软雅黑"/>
        <family val="2"/>
        <charset val="134"/>
      </rPr>
      <t xml:space="preserve">
</t>
    </r>
    <r>
      <rPr>
        <b/>
        <sz val="12"/>
        <color theme="1"/>
        <rFont val="微软雅黑"/>
        <family val="2"/>
        <charset val="134"/>
      </rPr>
      <t>2、发放规则</t>
    </r>
    <r>
      <rPr>
        <sz val="12"/>
        <color theme="1"/>
        <rFont val="微软雅黑"/>
        <family val="2"/>
        <charset val="134"/>
      </rPr>
      <t xml:space="preserve">
（1）发放周期：季度计算+次季度第二月发放
（2）主岗非完整季度在岗（入职、离职、调岗），则无奖金；
（3）</t>
    </r>
    <r>
      <rPr>
        <sz val="12"/>
        <color rgb="FFFF0000"/>
        <rFont val="微软雅黑"/>
        <family val="2"/>
        <charset val="134"/>
      </rPr>
      <t>考勤造假</t>
    </r>
    <r>
      <rPr>
        <sz val="12"/>
        <color theme="1"/>
        <rFont val="微软雅黑"/>
        <family val="2"/>
        <charset val="134"/>
      </rPr>
      <t>：无奖金；
（4）未设置目标，则无奖金；
（5）业绩同比增长率≤0，则无奖金；</t>
    </r>
    <phoneticPr fontId="80" type="noConversion"/>
  </si>
  <si>
    <r>
      <rPr>
        <b/>
        <sz val="12"/>
        <color theme="1"/>
        <rFont val="微软雅黑"/>
        <family val="2"/>
        <charset val="134"/>
      </rPr>
      <t xml:space="preserve">1、计算逻辑
奖金=（季度提成发放金额-过程扣款）*目标达成率激励倍数*季度出勤率；
</t>
    </r>
    <r>
      <rPr>
        <sz val="12"/>
        <color rgb="FFFF0000"/>
        <rFont val="微软雅黑"/>
        <family val="2"/>
        <charset val="134"/>
      </rPr>
      <t xml:space="preserve">（1）主兼岗分开考核；
</t>
    </r>
    <r>
      <rPr>
        <sz val="12"/>
        <color theme="1"/>
        <rFont val="微软雅黑"/>
        <family val="2"/>
        <charset val="134"/>
      </rPr>
      <t xml:space="preserve">
</t>
    </r>
    <r>
      <rPr>
        <b/>
        <sz val="12"/>
        <color theme="1"/>
        <rFont val="微软雅黑"/>
        <family val="2"/>
        <charset val="134"/>
      </rPr>
      <t>2、发放规则</t>
    </r>
    <r>
      <rPr>
        <sz val="12"/>
        <color theme="1"/>
        <rFont val="微软雅黑"/>
        <family val="2"/>
        <charset val="134"/>
      </rPr>
      <t xml:space="preserve">
（1）发放周期：季度计算+次季度第二月发放；
（2）季度业绩同比增长率&lt;=0，无奖金；
（3）主岗非完整季度在岗（入职、离职、调岗），奖金不发放；
（4）未设置目标，则无奖金；
（5）</t>
    </r>
    <r>
      <rPr>
        <sz val="12"/>
        <color rgb="FFFF0000"/>
        <rFont val="微软雅黑"/>
        <family val="2"/>
        <charset val="134"/>
      </rPr>
      <t>考勤造假</t>
    </r>
    <r>
      <rPr>
        <sz val="12"/>
        <color theme="1"/>
        <rFont val="微软雅黑"/>
        <family val="2"/>
        <charset val="134"/>
      </rPr>
      <t>：考核月绩效奖金和提成不予发放；</t>
    </r>
    <phoneticPr fontId="80" type="noConversion"/>
  </si>
  <si>
    <r>
      <rPr>
        <b/>
        <sz val="12"/>
        <color theme="1"/>
        <rFont val="微软雅黑"/>
        <family val="2"/>
        <charset val="134"/>
      </rPr>
      <t xml:space="preserve">1、计算逻辑
奖金=（季度提成发放金额+季度目标达成提成激励奖）*提成系数提升倍数*季度出勤率
</t>
    </r>
    <r>
      <rPr>
        <sz val="12"/>
        <color rgb="FFFF0000"/>
        <rFont val="微软雅黑"/>
        <family val="2"/>
        <charset val="134"/>
      </rPr>
      <t>（1）主兼岗分开考核</t>
    </r>
    <r>
      <rPr>
        <sz val="12"/>
        <color theme="1"/>
        <rFont val="微软雅黑"/>
        <family val="2"/>
        <charset val="134"/>
      </rPr>
      <t xml:space="preserve">
</t>
    </r>
    <r>
      <rPr>
        <b/>
        <sz val="12"/>
        <color theme="1"/>
        <rFont val="微软雅黑"/>
        <family val="2"/>
        <charset val="134"/>
      </rPr>
      <t>2、发放规则</t>
    </r>
    <r>
      <rPr>
        <sz val="12"/>
        <color theme="1"/>
        <rFont val="微软雅黑"/>
        <family val="2"/>
        <charset val="134"/>
      </rPr>
      <t xml:space="preserve">
（1）发放周期：季度计算+次季度第二月发放
（2）季度业绩同比增长率&lt;=0，无奖金；
（3）主岗非完整季度在岗（入职、离职、调岗），奖金不发放；
（4）</t>
    </r>
    <r>
      <rPr>
        <sz val="12"/>
        <color rgb="FFFF0000"/>
        <rFont val="微软雅黑"/>
        <family val="2"/>
        <charset val="134"/>
      </rPr>
      <t>考勤造假</t>
    </r>
    <r>
      <rPr>
        <sz val="12"/>
        <color theme="1"/>
        <rFont val="微软雅黑"/>
        <family val="2"/>
        <charset val="134"/>
      </rPr>
      <t>：无奖金；
（5）未设置目标，则无奖金；</t>
    </r>
    <phoneticPr fontId="80" type="noConversion"/>
  </si>
  <si>
    <r>
      <rPr>
        <b/>
        <sz val="12"/>
        <color theme="1"/>
        <rFont val="微软雅黑"/>
        <family val="2"/>
        <charset val="134"/>
      </rPr>
      <t xml:space="preserve">1、计算逻辑
奖金=目标达成率的奖金基数*业绩体量系数*季度出勤率
</t>
    </r>
    <r>
      <rPr>
        <sz val="12"/>
        <color rgb="FFFF0000"/>
        <rFont val="微软雅黑"/>
        <family val="2"/>
        <charset val="134"/>
      </rPr>
      <t>（1）仅主岗参与考核；</t>
    </r>
    <r>
      <rPr>
        <sz val="12"/>
        <color theme="1"/>
        <rFont val="微软雅黑"/>
        <family val="2"/>
        <charset val="134"/>
      </rPr>
      <t xml:space="preserve">
</t>
    </r>
    <r>
      <rPr>
        <b/>
        <sz val="12"/>
        <color theme="1"/>
        <rFont val="微软雅黑"/>
        <family val="2"/>
        <charset val="134"/>
      </rPr>
      <t>2、发放规则</t>
    </r>
    <r>
      <rPr>
        <sz val="12"/>
        <color theme="1"/>
        <rFont val="微软雅黑"/>
        <family val="2"/>
        <charset val="134"/>
      </rPr>
      <t xml:space="preserve">
（1）发放周期：季度计算+次季度第二月发放
（2）主岗非完整季度在岗（入职、离职、调岗），奖金不发放；
（3）未设置目标，则无奖金；
（4）</t>
    </r>
    <r>
      <rPr>
        <sz val="12"/>
        <color rgb="FFFF0000"/>
        <rFont val="微软雅黑"/>
        <family val="2"/>
        <charset val="134"/>
      </rPr>
      <t>考勤造假</t>
    </r>
    <r>
      <rPr>
        <sz val="12"/>
        <color theme="1"/>
        <rFont val="微软雅黑"/>
        <family val="2"/>
        <charset val="134"/>
      </rPr>
      <t>：无奖金；
（5）季度业绩同比增长率&lt;=0，无奖金；</t>
    </r>
    <phoneticPr fontId="80" type="noConversion"/>
  </si>
  <si>
    <r>
      <rPr>
        <b/>
        <sz val="12"/>
        <color theme="1"/>
        <rFont val="微软雅黑"/>
        <family val="2"/>
        <charset val="134"/>
      </rPr>
      <t xml:space="preserve">1、计算逻辑
奖金=（季度提成发放金额-过程扣款）*目标达成率激励倍数*季度出勤率；
</t>
    </r>
    <r>
      <rPr>
        <sz val="12"/>
        <color rgb="FFFF0000"/>
        <rFont val="微软雅黑"/>
        <family val="2"/>
        <charset val="134"/>
      </rPr>
      <t>（1）主兼岗分开考核；</t>
    </r>
    <r>
      <rPr>
        <sz val="12"/>
        <color theme="1"/>
        <rFont val="微软雅黑"/>
        <family val="2"/>
        <charset val="134"/>
      </rPr>
      <t xml:space="preserve">
</t>
    </r>
    <r>
      <rPr>
        <b/>
        <sz val="12"/>
        <color theme="1"/>
        <rFont val="微软雅黑"/>
        <family val="2"/>
        <charset val="134"/>
      </rPr>
      <t>2、发放规则</t>
    </r>
    <r>
      <rPr>
        <sz val="12"/>
        <color theme="1"/>
        <rFont val="微软雅黑"/>
        <family val="2"/>
        <charset val="134"/>
      </rPr>
      <t xml:space="preserve">
（1）发放周期：季度计算+次季度第二月发放；
（2）季度业绩同比增长率&lt;=0，无奖金；
（3）主岗非完整季度在岗（入职、离职、调岗），奖金不发放；
（4）未设置目标，则无奖金；
（5）</t>
    </r>
    <r>
      <rPr>
        <sz val="12"/>
        <color rgb="FFFF0000"/>
        <rFont val="微软雅黑"/>
        <family val="2"/>
        <charset val="134"/>
      </rPr>
      <t>考勤造假</t>
    </r>
    <r>
      <rPr>
        <sz val="12"/>
        <color theme="1"/>
        <rFont val="微软雅黑"/>
        <family val="2"/>
        <charset val="134"/>
      </rPr>
      <t>：考核月绩效奖金和提成不予发放；</t>
    </r>
    <phoneticPr fontId="80" type="noConversion"/>
  </si>
  <si>
    <r>
      <rPr>
        <b/>
        <sz val="12"/>
        <color theme="1"/>
        <rFont val="微软雅黑"/>
        <family val="2"/>
        <charset val="134"/>
      </rPr>
      <t xml:space="preserve">1、计算逻辑
奖金=（季度提成发放金额-过程扣款）*目标达成率激励倍数*季度出勤率；
</t>
    </r>
    <r>
      <rPr>
        <sz val="12"/>
        <color theme="1"/>
        <rFont val="微软雅黑"/>
        <family val="2"/>
        <charset val="134"/>
      </rPr>
      <t xml:space="preserve">（1）主兼岗合并考核；
</t>
    </r>
    <r>
      <rPr>
        <b/>
        <sz val="12"/>
        <color theme="1"/>
        <rFont val="微软雅黑"/>
        <family val="2"/>
        <charset val="134"/>
      </rPr>
      <t>2、发放规则</t>
    </r>
    <r>
      <rPr>
        <sz val="12"/>
        <color theme="1"/>
        <rFont val="微软雅黑"/>
        <family val="2"/>
        <charset val="134"/>
      </rPr>
      <t xml:space="preserve">
（1）发放周期：季度计算+次季度第二月发放；
（2）季度业绩同比增长率&lt;=0，无奖金；
（3）主岗非完整季度在岗（入职、离职、调岗），奖金不发放；
（4）未设置目标，则无奖金；
（5）</t>
    </r>
    <r>
      <rPr>
        <sz val="12"/>
        <color rgb="FFFF0000"/>
        <rFont val="微软雅黑"/>
        <family val="2"/>
        <charset val="134"/>
      </rPr>
      <t>考勤造假</t>
    </r>
    <r>
      <rPr>
        <sz val="12"/>
        <color theme="1"/>
        <rFont val="微软雅黑"/>
        <family val="2"/>
        <charset val="134"/>
      </rPr>
      <t>：考核月绩效奖金和提成不予发放；</t>
    </r>
    <phoneticPr fontId="80" type="noConversion"/>
  </si>
  <si>
    <r>
      <rPr>
        <b/>
        <sz val="12"/>
        <color theme="1"/>
        <rFont val="微软雅黑"/>
        <family val="2"/>
        <charset val="134"/>
      </rPr>
      <t xml:space="preserve">1、计算逻辑
奖金=（季度提成发放金额+季度目标达成提成激励奖）*提成系数提升倍数*季度出勤率
</t>
    </r>
    <r>
      <rPr>
        <sz val="12"/>
        <color rgb="FFFF0000"/>
        <rFont val="微软雅黑"/>
        <family val="2"/>
        <charset val="134"/>
      </rPr>
      <t>（1）主兼岗分开考核</t>
    </r>
    <r>
      <rPr>
        <sz val="12"/>
        <color theme="1"/>
        <rFont val="微软雅黑"/>
        <family val="2"/>
        <charset val="134"/>
      </rPr>
      <t xml:space="preserve">
</t>
    </r>
    <r>
      <rPr>
        <b/>
        <sz val="12"/>
        <color theme="1"/>
        <rFont val="微软雅黑"/>
        <family val="2"/>
        <charset val="134"/>
      </rPr>
      <t>2、发放规则</t>
    </r>
    <r>
      <rPr>
        <sz val="12"/>
        <color theme="1"/>
        <rFont val="微软雅黑"/>
        <family val="2"/>
        <charset val="134"/>
      </rPr>
      <t xml:space="preserve">
（1）发放周期：季度计算+次季度第二月发放
（2）季度业绩同比增长率&lt;=0，无奖金；
（3）主岗非完整季度在岗（入职、离职、调岗），奖金不发放
（4）</t>
    </r>
    <r>
      <rPr>
        <sz val="12"/>
        <color rgb="FFFF0000"/>
        <rFont val="微软雅黑"/>
        <family val="2"/>
        <charset val="134"/>
      </rPr>
      <t>考勤造假</t>
    </r>
    <r>
      <rPr>
        <sz val="12"/>
        <color theme="1"/>
        <rFont val="微软雅黑"/>
        <family val="2"/>
        <charset val="134"/>
      </rPr>
      <t>：无奖金；
（5）未设置目标，则无奖金；</t>
    </r>
    <phoneticPr fontId="80" type="noConversion"/>
  </si>
  <si>
    <r>
      <rPr>
        <b/>
        <sz val="12"/>
        <color theme="1"/>
        <rFont val="微软雅黑"/>
        <family val="2"/>
        <charset val="134"/>
      </rPr>
      <t>1、计算逻辑：</t>
    </r>
    <r>
      <rPr>
        <sz val="12"/>
        <color theme="1"/>
        <rFont val="微软雅黑"/>
        <family val="2"/>
        <charset val="134"/>
      </rPr>
      <t xml:space="preserve">
a、提成：现金业绩*提成系数 * 折扣系数*季度出勤率
b、提成发放：业绩同比提成+目标达成率提成
</t>
    </r>
    <r>
      <rPr>
        <b/>
        <sz val="12"/>
        <color theme="1"/>
        <rFont val="微软雅黑"/>
        <family val="2"/>
        <charset val="134"/>
      </rPr>
      <t>（1）业绩同比提成：提成*50%*业绩同比，同比限高1；业绩同比为0，按1计；</t>
    </r>
    <r>
      <rPr>
        <sz val="12"/>
        <color theme="1"/>
        <rFont val="微软雅黑"/>
        <family val="2"/>
        <charset val="134"/>
      </rPr>
      <t xml:space="preserve">
a、提成*50%*（当期现金业绩/上年度同期现金业绩）
</t>
    </r>
    <r>
      <rPr>
        <b/>
        <sz val="12"/>
        <color theme="1"/>
        <rFont val="微软雅黑"/>
        <family val="2"/>
        <charset val="134"/>
      </rPr>
      <t>（2）目标达成率提成：提成*50%*发放比例</t>
    </r>
    <r>
      <rPr>
        <sz val="12"/>
        <color theme="1"/>
        <rFont val="微软雅黑"/>
        <family val="2"/>
        <charset val="134"/>
      </rPr>
      <t xml:space="preserve">
a、目标达成率&lt;75%，提成*50%*0%
b、目标达成率≥75%，提成*50%*100%
（3）不同品项不同提成系数：
</t>
    </r>
    <r>
      <rPr>
        <sz val="12"/>
        <color rgb="FFFF0000"/>
        <rFont val="微软雅黑"/>
        <family val="2"/>
        <charset val="134"/>
      </rPr>
      <t xml:space="preserve">（4）主兼岗分开考核；
</t>
    </r>
    <r>
      <rPr>
        <sz val="12"/>
        <color theme="1"/>
        <rFont val="微软雅黑"/>
        <family val="2"/>
        <charset val="134"/>
      </rPr>
      <t xml:space="preserve">
</t>
    </r>
    <r>
      <rPr>
        <b/>
        <sz val="12"/>
        <color theme="1"/>
        <rFont val="微软雅黑"/>
        <family val="2"/>
        <charset val="134"/>
      </rPr>
      <t>2、发放规则</t>
    </r>
    <r>
      <rPr>
        <sz val="12"/>
        <color theme="1"/>
        <rFont val="微软雅黑"/>
        <family val="2"/>
        <charset val="134"/>
      </rPr>
      <t xml:space="preserve">
（1）发放周期：季度计算+次季度第二月发放；
（2）</t>
    </r>
    <r>
      <rPr>
        <sz val="12"/>
        <color rgb="FFFF0000"/>
        <rFont val="微软雅黑"/>
        <family val="2"/>
        <charset val="134"/>
      </rPr>
      <t>考勤造假</t>
    </r>
    <r>
      <rPr>
        <sz val="12"/>
        <color theme="1"/>
        <rFont val="微软雅黑"/>
        <family val="2"/>
        <charset val="134"/>
      </rPr>
      <t>：绩效奖金和提成不予发放；
（3）未设置目标，</t>
    </r>
    <r>
      <rPr>
        <sz val="12"/>
        <color rgb="FFFF0000"/>
        <rFont val="微软雅黑"/>
        <family val="2"/>
        <charset val="134"/>
      </rPr>
      <t>仅发放业绩同比提成；</t>
    </r>
    <r>
      <rPr>
        <sz val="12"/>
        <color theme="1"/>
        <rFont val="微软雅黑"/>
        <family val="2"/>
        <charset val="134"/>
      </rPr>
      <t xml:space="preserve">
3、其他
（1）季度内跨组/跨岗位异动，目标不折算，业绩分开计算；
（2）同业务组内组织异动，岗位不变，目标与业绩分开计算，目标不折算；</t>
    </r>
    <phoneticPr fontId="80" type="noConversion"/>
  </si>
  <si>
    <r>
      <rPr>
        <b/>
        <sz val="12"/>
        <color theme="1"/>
        <rFont val="微软雅黑"/>
        <family val="2"/>
        <charset val="134"/>
      </rPr>
      <t>1、计算逻辑：</t>
    </r>
    <r>
      <rPr>
        <sz val="12"/>
        <color theme="1"/>
        <rFont val="微软雅黑"/>
        <family val="2"/>
        <charset val="134"/>
      </rPr>
      <t xml:space="preserve">
a、提成：现金业绩*提成系数 * 折扣系数*季度出勤率
b、提成发放：业绩同比提成+目标达成率提成
</t>
    </r>
    <r>
      <rPr>
        <b/>
        <sz val="12"/>
        <color theme="1"/>
        <rFont val="微软雅黑"/>
        <family val="2"/>
        <charset val="134"/>
      </rPr>
      <t>（1）业绩同比提成：提成*50%*业绩同比，同比限高1；业绩同比为0，按1计；</t>
    </r>
    <r>
      <rPr>
        <sz val="12"/>
        <color theme="1"/>
        <rFont val="微软雅黑"/>
        <family val="2"/>
        <charset val="134"/>
      </rPr>
      <t xml:space="preserve">
a、提成*50%*（当期现金业绩/上年度同期现金业绩）
</t>
    </r>
    <r>
      <rPr>
        <b/>
        <sz val="12"/>
        <color theme="1"/>
        <rFont val="微软雅黑"/>
        <family val="2"/>
        <charset val="134"/>
      </rPr>
      <t>（2）目标达成率提成：提成*50%*发放比例</t>
    </r>
    <r>
      <rPr>
        <sz val="12"/>
        <color theme="1"/>
        <rFont val="微软雅黑"/>
        <family val="2"/>
        <charset val="134"/>
      </rPr>
      <t xml:space="preserve">
a、目标达成率&lt;75%，提成*50%*0%
b、目标达成率≥75%，提成*50%*100%
（3）不同品项不同提成系数：
</t>
    </r>
    <r>
      <rPr>
        <sz val="12"/>
        <color rgb="FFFF0000"/>
        <rFont val="微软雅黑"/>
        <family val="2"/>
        <charset val="134"/>
      </rPr>
      <t>（4）主兼岗分开考核；</t>
    </r>
    <r>
      <rPr>
        <sz val="12"/>
        <color theme="1"/>
        <rFont val="微软雅黑"/>
        <family val="2"/>
        <charset val="134"/>
      </rPr>
      <t xml:space="preserve">
</t>
    </r>
    <r>
      <rPr>
        <b/>
        <sz val="12"/>
        <color theme="1"/>
        <rFont val="微软雅黑"/>
        <family val="2"/>
        <charset val="134"/>
      </rPr>
      <t>2、发放规则</t>
    </r>
    <r>
      <rPr>
        <sz val="12"/>
        <color theme="1"/>
        <rFont val="微软雅黑"/>
        <family val="2"/>
        <charset val="134"/>
      </rPr>
      <t xml:space="preserve">
（1）发放周期：季度计算+次季度第二月发放；
（2）</t>
    </r>
    <r>
      <rPr>
        <sz val="12"/>
        <color rgb="FFFF0000"/>
        <rFont val="微软雅黑"/>
        <family val="2"/>
        <charset val="134"/>
      </rPr>
      <t>考勤造假</t>
    </r>
    <r>
      <rPr>
        <sz val="12"/>
        <color theme="1"/>
        <rFont val="微软雅黑"/>
        <family val="2"/>
        <charset val="134"/>
      </rPr>
      <t>：绩效奖金和提成不予发放；
（3）未设置目标，</t>
    </r>
    <r>
      <rPr>
        <sz val="12"/>
        <color rgb="FFFF0000"/>
        <rFont val="微软雅黑"/>
        <family val="2"/>
        <charset val="134"/>
      </rPr>
      <t>仅发放业绩同比提成；</t>
    </r>
    <r>
      <rPr>
        <sz val="12"/>
        <color theme="1"/>
        <rFont val="微软雅黑"/>
        <family val="2"/>
        <charset val="134"/>
      </rPr>
      <t xml:space="preserve">
3、其他
（1）季度内跨组/跨岗位异动，目标不折算，业绩分开计算；
（2）同业务组内组织异动，岗位不变，目标与业绩分开计算，目标不折算；</t>
    </r>
    <phoneticPr fontId="80" type="noConversion"/>
  </si>
  <si>
    <r>
      <rPr>
        <b/>
        <sz val="12"/>
        <color theme="1"/>
        <rFont val="微软雅黑"/>
        <family val="2"/>
        <charset val="134"/>
      </rPr>
      <t>1、计算逻辑：</t>
    </r>
    <r>
      <rPr>
        <sz val="12"/>
        <color theme="1"/>
        <rFont val="微软雅黑"/>
        <family val="2"/>
        <charset val="134"/>
      </rPr>
      <t xml:space="preserve">
a、提成：现金业绩*提成系数 * 折扣系数*季度出勤率
b、提成发放：业绩同比提成+目标达成率提成
</t>
    </r>
    <r>
      <rPr>
        <b/>
        <sz val="12"/>
        <color theme="1"/>
        <rFont val="微软雅黑"/>
        <family val="2"/>
        <charset val="134"/>
      </rPr>
      <t>（1）业绩同比提成：提成*50%*业绩同比，同比限高1；业绩同比为0，按1计；</t>
    </r>
    <r>
      <rPr>
        <sz val="12"/>
        <color theme="1"/>
        <rFont val="微软雅黑"/>
        <family val="2"/>
        <charset val="134"/>
      </rPr>
      <t xml:space="preserve">
a、提成*50%*（当期现金业绩/上年度同期现金业绩）
</t>
    </r>
    <r>
      <rPr>
        <b/>
        <sz val="12"/>
        <color theme="1"/>
        <rFont val="微软雅黑"/>
        <family val="2"/>
        <charset val="134"/>
      </rPr>
      <t>（2）目标达成率提成：提成*50%*发放比例</t>
    </r>
    <r>
      <rPr>
        <sz val="12"/>
        <color theme="1"/>
        <rFont val="微软雅黑"/>
        <family val="2"/>
        <charset val="134"/>
      </rPr>
      <t xml:space="preserve">
a、目标达成率&lt;75%，提成*50%*0%
b、目标达成率≥75%，提成*50%*100%
（3）不同品项不同提成系数：
</t>
    </r>
    <r>
      <rPr>
        <sz val="12"/>
        <color rgb="FFFF0000"/>
        <rFont val="微软雅黑"/>
        <family val="2"/>
        <charset val="134"/>
      </rPr>
      <t>（4）主兼岗分开考核；</t>
    </r>
    <r>
      <rPr>
        <sz val="12"/>
        <color theme="1"/>
        <rFont val="微软雅黑"/>
        <family val="2"/>
        <charset val="134"/>
      </rPr>
      <t xml:space="preserve">
</t>
    </r>
    <r>
      <rPr>
        <b/>
        <sz val="12"/>
        <color theme="1"/>
        <rFont val="微软雅黑"/>
        <family val="2"/>
        <charset val="134"/>
      </rPr>
      <t>2、发放规则</t>
    </r>
    <r>
      <rPr>
        <sz val="12"/>
        <color theme="1"/>
        <rFont val="微软雅黑"/>
        <family val="2"/>
        <charset val="134"/>
      </rPr>
      <t xml:space="preserve">
（1）发放周期：季度计算+次季度第二月发放；
（2）</t>
    </r>
    <r>
      <rPr>
        <sz val="12"/>
        <color rgb="FFFF0000"/>
        <rFont val="微软雅黑"/>
        <family val="2"/>
        <charset val="134"/>
      </rPr>
      <t>考勤造假</t>
    </r>
    <r>
      <rPr>
        <sz val="12"/>
        <color theme="1"/>
        <rFont val="微软雅黑"/>
        <family val="2"/>
        <charset val="134"/>
      </rPr>
      <t>：绩效奖金和提成不予发放；
（3）未设置目标，</t>
    </r>
    <r>
      <rPr>
        <sz val="12"/>
        <color rgb="FFFF0000"/>
        <rFont val="微软雅黑"/>
        <family val="2"/>
        <charset val="134"/>
      </rPr>
      <t>仅发放业绩同比提成；</t>
    </r>
    <r>
      <rPr>
        <sz val="12"/>
        <color theme="1"/>
        <rFont val="微软雅黑"/>
        <family val="2"/>
        <charset val="134"/>
      </rPr>
      <t xml:space="preserve">
3、其他
（1）季度内跨组/跨岗位异动，目标不折算，业绩分开计算；
（2）同业务组内组织异动，岗位不变，目标与业绩分开计算，目标不折算；</t>
    </r>
    <phoneticPr fontId="80" type="noConversion"/>
  </si>
  <si>
    <t>季度主管评分奖</t>
    <phoneticPr fontId="80" type="noConversion"/>
  </si>
  <si>
    <t>利润率提成</t>
    <phoneticPr fontId="80" type="noConversion"/>
  </si>
  <si>
    <t>系数</t>
    <phoneticPr fontId="80" type="noConversion"/>
  </si>
  <si>
    <t>P≤60%</t>
    <phoneticPr fontId="80" type="noConversion"/>
  </si>
  <si>
    <t>60%&lt;P≤80%</t>
    <phoneticPr fontId="80" type="noConversion"/>
  </si>
  <si>
    <t>80%&lt;P≤100%</t>
    <phoneticPr fontId="80" type="noConversion"/>
  </si>
  <si>
    <t>100%&lt;P≤120%</t>
    <phoneticPr fontId="80" type="noConversion"/>
  </si>
  <si>
    <t>P&gt;120%</t>
    <phoneticPr fontId="80" type="noConversion"/>
  </si>
  <si>
    <t>0.8-1.0（线性）</t>
    <phoneticPr fontId="80" type="noConversion"/>
  </si>
  <si>
    <t>P&lt;40%</t>
    <phoneticPr fontId="80" type="noConversion"/>
  </si>
  <si>
    <t>40%&lt;P≤70%</t>
    <phoneticPr fontId="80" type="noConversion"/>
  </si>
  <si>
    <t>70%&lt;P≤100%</t>
    <phoneticPr fontId="80" type="noConversion"/>
  </si>
  <si>
    <t>0.7-1.0（线性）</t>
    <phoneticPr fontId="80" type="noConversion"/>
  </si>
  <si>
    <t>P≤40%</t>
    <phoneticPr fontId="80" type="noConversion"/>
  </si>
  <si>
    <r>
      <rPr>
        <b/>
        <sz val="11"/>
        <color rgb="FFFF0000"/>
        <rFont val="微软雅黑"/>
        <family val="2"/>
        <charset val="134"/>
      </rPr>
      <t>权重</t>
    </r>
    <r>
      <rPr>
        <sz val="11"/>
        <color rgb="FFFF0000"/>
        <rFont val="微软雅黑"/>
        <family val="2"/>
        <charset val="134"/>
      </rPr>
      <t xml:space="preserve">：50%
</t>
    </r>
    <r>
      <rPr>
        <b/>
        <sz val="11"/>
        <color rgb="FFFF0000"/>
        <rFont val="微软雅黑"/>
        <family val="2"/>
        <charset val="134"/>
      </rPr>
      <t>计算逻辑</t>
    </r>
    <r>
      <rPr>
        <sz val="11"/>
        <color rgb="FFFF0000"/>
        <rFont val="微软雅黑"/>
        <family val="2"/>
        <charset val="134"/>
      </rPr>
      <t xml:space="preserve">：绩效基数*权重*系数
</t>
    </r>
    <r>
      <rPr>
        <b/>
        <sz val="11"/>
        <color rgb="FFFF0000"/>
        <rFont val="微软雅黑"/>
        <family val="2"/>
        <charset val="134"/>
      </rPr>
      <t>目标</t>
    </r>
    <r>
      <rPr>
        <sz val="11"/>
        <color rgb="FFFF0000"/>
        <rFont val="微软雅黑"/>
        <family val="2"/>
        <charset val="134"/>
      </rPr>
      <t xml:space="preserve">：以合伙人的目标为目标，合伙人的目标由区域经理制定
</t>
    </r>
    <r>
      <rPr>
        <b/>
        <sz val="11"/>
        <color rgb="FFFF0000"/>
        <rFont val="微软雅黑"/>
        <family val="2"/>
        <charset val="134"/>
      </rPr>
      <t>业绩目标达成率</t>
    </r>
    <r>
      <rPr>
        <sz val="11"/>
        <color rgb="FFFF0000"/>
        <rFont val="微软雅黑"/>
        <family val="2"/>
        <charset val="134"/>
      </rPr>
      <t>：合伙人盘价业绩/合伙人目标（有客户主任的合伙人，目标不能低于10万/月）</t>
    </r>
    <phoneticPr fontId="80" type="noConversion"/>
  </si>
  <si>
    <r>
      <rPr>
        <b/>
        <sz val="10"/>
        <color rgb="FFFF0000"/>
        <rFont val="微软雅黑"/>
        <family val="2"/>
        <charset val="134"/>
      </rPr>
      <t>权重</t>
    </r>
    <r>
      <rPr>
        <sz val="10"/>
        <color rgb="FFFF0000"/>
        <rFont val="微软雅黑"/>
        <family val="2"/>
        <charset val="134"/>
      </rPr>
      <t>：20%</t>
    </r>
    <r>
      <rPr>
        <sz val="10"/>
        <color theme="1"/>
        <rFont val="微软雅黑"/>
        <family val="2"/>
        <charset val="134"/>
      </rPr>
      <t xml:space="preserve">
</t>
    </r>
    <r>
      <rPr>
        <b/>
        <sz val="10"/>
        <color theme="1"/>
        <rFont val="微软雅黑"/>
        <family val="2"/>
        <charset val="134"/>
      </rPr>
      <t>计算逻辑</t>
    </r>
    <r>
      <rPr>
        <sz val="10"/>
        <color theme="1"/>
        <rFont val="微软雅黑"/>
        <family val="2"/>
        <charset val="134"/>
      </rPr>
      <t xml:space="preserve">：绩效基数*权重*系数
</t>
    </r>
    <r>
      <rPr>
        <b/>
        <sz val="10"/>
        <color theme="1"/>
        <rFont val="微软雅黑"/>
        <family val="2"/>
        <charset val="134"/>
      </rPr>
      <t>终端目标（新抄单网点数 目标）</t>
    </r>
    <r>
      <rPr>
        <sz val="10"/>
        <color theme="1"/>
        <rFont val="微软雅黑"/>
        <family val="2"/>
        <charset val="134"/>
      </rPr>
      <t>：</t>
    </r>
    <r>
      <rPr>
        <sz val="10"/>
        <color rgb="FFFF0000"/>
        <rFont val="微软雅黑"/>
        <family val="2"/>
        <charset val="134"/>
      </rPr>
      <t>新抄单终端不低于50家（目标由区域经理根据合伙人市场定制）</t>
    </r>
    <r>
      <rPr>
        <sz val="10"/>
        <color theme="1"/>
        <rFont val="微软雅黑"/>
        <family val="2"/>
        <charset val="134"/>
      </rPr>
      <t xml:space="preserve">
</t>
    </r>
    <r>
      <rPr>
        <b/>
        <sz val="10"/>
        <color theme="1"/>
        <rFont val="微软雅黑"/>
        <family val="2"/>
        <charset val="134"/>
      </rPr>
      <t>有效交易终端（新抄单网点数）</t>
    </r>
    <r>
      <rPr>
        <sz val="10"/>
        <color theme="1"/>
        <rFont val="微软雅黑"/>
        <family val="2"/>
        <charset val="134"/>
      </rPr>
      <t>：7 月 1 日完成数据切割，BD 终端历史数据清零；新抄单网点需同时完成扫码 + 抄单；按月做门店去重，8 月剔除 7 月门店明细，9 月剔除 7</t>
    </r>
    <r>
      <rPr>
        <sz val="10"/>
        <color theme="1"/>
        <rFont val="Cambria Math"/>
        <family val="2"/>
        <charset val="1"/>
      </rPr>
      <t>‑</t>
    </r>
    <r>
      <rPr>
        <sz val="10"/>
        <color theme="1"/>
        <rFont val="微软雅黑"/>
        <family val="2"/>
        <charset val="134"/>
      </rPr>
      <t xml:space="preserve">8 月门店明细，仅统计当月首次达标网点。如产品组可销品无扫码奖，则只计抄单；
</t>
    </r>
    <r>
      <rPr>
        <b/>
        <sz val="10"/>
        <color theme="1"/>
        <rFont val="微软雅黑"/>
        <family val="2"/>
        <charset val="134"/>
      </rPr>
      <t>终端覆盖率</t>
    </r>
    <r>
      <rPr>
        <sz val="10"/>
        <color theme="1"/>
        <rFont val="微软雅黑"/>
        <family val="2"/>
        <charset val="134"/>
      </rPr>
      <t>：有效交易终端数/终端目标</t>
    </r>
    <phoneticPr fontId="80" type="noConversion"/>
  </si>
  <si>
    <r>
      <rPr>
        <b/>
        <sz val="11"/>
        <color rgb="FFFF0000"/>
        <rFont val="微软雅黑"/>
        <family val="2"/>
        <charset val="134"/>
      </rPr>
      <t>权重</t>
    </r>
    <r>
      <rPr>
        <sz val="11"/>
        <color rgb="FFFF0000"/>
        <rFont val="微软雅黑"/>
        <family val="2"/>
        <charset val="134"/>
      </rPr>
      <t>：20%</t>
    </r>
    <r>
      <rPr>
        <sz val="11"/>
        <color theme="1"/>
        <rFont val="微软雅黑"/>
        <family val="2"/>
        <charset val="134"/>
      </rPr>
      <t xml:space="preserve">
</t>
    </r>
    <r>
      <rPr>
        <b/>
        <sz val="11"/>
        <color theme="1"/>
        <rFont val="微软雅黑"/>
        <family val="2"/>
        <charset val="134"/>
      </rPr>
      <t>计算逻辑</t>
    </r>
    <r>
      <rPr>
        <sz val="11"/>
        <color theme="1"/>
        <rFont val="微软雅黑"/>
        <family val="2"/>
        <charset val="134"/>
      </rPr>
      <t xml:space="preserve">：绩效基数*权重*系数
历史未抄过单的门店首次抄单则为新开客户
</t>
    </r>
    <r>
      <rPr>
        <b/>
        <sz val="11"/>
        <color rgb="FFFF0000"/>
        <rFont val="微软雅黑"/>
        <family val="2"/>
        <charset val="134"/>
      </rPr>
      <t>目标</t>
    </r>
    <r>
      <rPr>
        <sz val="11"/>
        <color rgb="FFFF0000"/>
        <rFont val="微软雅黑"/>
        <family val="2"/>
        <charset val="134"/>
      </rPr>
      <t>：月度新开终端不低于5个</t>
    </r>
    <r>
      <rPr>
        <sz val="11"/>
        <color theme="1"/>
        <rFont val="微软雅黑"/>
        <family val="2"/>
        <charset val="134"/>
      </rPr>
      <t xml:space="preserve">
</t>
    </r>
    <r>
      <rPr>
        <b/>
        <sz val="11"/>
        <color theme="1"/>
        <rFont val="微软雅黑"/>
        <family val="2"/>
        <charset val="134"/>
      </rPr>
      <t>新开终端：</t>
    </r>
    <r>
      <rPr>
        <sz val="11"/>
        <color theme="1"/>
        <rFont val="微软雅黑"/>
        <family val="2"/>
        <charset val="134"/>
      </rPr>
      <t xml:space="preserve">首次建档或6个月内未下单终端，当月完成下单并录入；
</t>
    </r>
    <r>
      <rPr>
        <b/>
        <sz val="11"/>
        <color theme="1"/>
        <rFont val="微软雅黑"/>
        <family val="2"/>
        <charset val="134"/>
      </rPr>
      <t>新开终端目标达成率</t>
    </r>
    <r>
      <rPr>
        <sz val="11"/>
        <color theme="1"/>
        <rFont val="微软雅黑"/>
        <family val="2"/>
        <charset val="134"/>
      </rPr>
      <t>：新开终端数/新开终端目标</t>
    </r>
    <phoneticPr fontId="80" type="noConversion"/>
  </si>
  <si>
    <t>过程管理指标</t>
    <phoneticPr fontId="80" type="noConversion"/>
  </si>
  <si>
    <t>P≤80%</t>
    <phoneticPr fontId="80" type="noConversion"/>
  </si>
  <si>
    <t>盘点率</t>
    <phoneticPr fontId="80" type="noConversion"/>
  </si>
  <si>
    <r>
      <t>1、绩效=（业绩达成+终端覆盖率+新开终端数+盘点率达成）*出勤率
2、出勤率：实际出勤天数/应出勤天数
3、</t>
    </r>
    <r>
      <rPr>
        <sz val="11"/>
        <color rgb="FFFF0000"/>
        <rFont val="微软雅黑"/>
        <family val="2"/>
        <charset val="134"/>
      </rPr>
      <t>考勤造假</t>
    </r>
    <r>
      <rPr>
        <sz val="11"/>
        <color theme="1"/>
        <rFont val="微软雅黑"/>
        <family val="2"/>
        <charset val="134"/>
      </rPr>
      <t>：考核月绩效不予发放；</t>
    </r>
    <phoneticPr fontId="80" type="noConversion"/>
  </si>
  <si>
    <r>
      <rPr>
        <b/>
        <sz val="11"/>
        <color rgb="FFFF0000"/>
        <rFont val="微软雅黑"/>
        <family val="2"/>
        <charset val="134"/>
      </rPr>
      <t>权重：</t>
    </r>
    <r>
      <rPr>
        <sz val="11"/>
        <color rgb="FFFF0000"/>
        <rFont val="微软雅黑"/>
        <family val="2"/>
        <charset val="134"/>
      </rPr>
      <t xml:space="preserve">10%
</t>
    </r>
    <r>
      <rPr>
        <b/>
        <sz val="11"/>
        <color rgb="FFFF0000"/>
        <rFont val="微软雅黑"/>
        <family val="2"/>
        <charset val="134"/>
      </rPr>
      <t>计算逻辑</t>
    </r>
    <r>
      <rPr>
        <sz val="11"/>
        <color rgb="FFFF0000"/>
        <rFont val="微软雅黑"/>
        <family val="2"/>
        <charset val="134"/>
      </rPr>
      <t xml:space="preserve">：绩效基数*权重*系数
</t>
    </r>
    <r>
      <rPr>
        <b/>
        <sz val="11"/>
        <color rgb="FFFF0000"/>
        <rFont val="微软雅黑"/>
        <family val="2"/>
        <charset val="134"/>
      </rPr>
      <t>内容</t>
    </r>
    <r>
      <rPr>
        <sz val="11"/>
        <color rgb="FFFF0000"/>
        <rFont val="微软雅黑"/>
        <family val="2"/>
        <charset val="134"/>
      </rPr>
      <t xml:space="preserve">：根据日常拜访完成情况及合伙人盘点等进行考核
</t>
    </r>
    <r>
      <rPr>
        <b/>
        <sz val="11"/>
        <color rgb="FFFF0000"/>
        <rFont val="微软雅黑"/>
        <family val="2"/>
        <charset val="134"/>
      </rPr>
      <t>盘点率</t>
    </r>
    <r>
      <rPr>
        <sz val="11"/>
        <color rgb="FFFF0000"/>
        <rFont val="微软雅黑"/>
        <family val="2"/>
        <charset val="134"/>
      </rPr>
      <t>：日拜访合伙人盘点，月度盘点率不低于80%（盘点次数/考勤天数）</t>
    </r>
    <phoneticPr fontId="80" type="noConversion"/>
  </si>
  <si>
    <t>薪资构成：底薪+ 绩效</t>
    <phoneticPr fontId="80" type="noConversion"/>
  </si>
  <si>
    <t>薪资结构（按城市档位）（承揽BD薪资先不变按原先的）</t>
  </si>
  <si>
    <t>客户主任薪资按三档核定，基本工资+绩效+抄单提成（绩效部分与个人考核挂钩，未达标按公司绩效制度执行）</t>
  </si>
  <si>
    <t>城市档位</t>
  </si>
  <si>
    <t>主任底薪</t>
  </si>
  <si>
    <t>主任绩效</t>
  </si>
  <si>
    <t>主任月成本（含保险）</t>
  </si>
  <si>
    <t>一线（一档）</t>
  </si>
  <si>
    <t>二线（二档）</t>
  </si>
  <si>
    <t>三线（三档）</t>
  </si>
  <si>
    <t>分公司城市分级清单（按分公司划分）</t>
  </si>
  <si>
    <t>一档</t>
  </si>
  <si>
    <t>北京分、广州分、上海分、深圳分</t>
  </si>
  <si>
    <t>二档</t>
  </si>
  <si>
    <t>成都分、福州分、贵阳分、哈尔滨分、杭州分、合肥分、济南分、昆明分、兰州分、南昌分、南京分、南宁分、宁波分、青岛分、泉州分、沈阳分、石家庄分、苏州分、太原分、天津分、温州分、乌鲁木齐分、武汉分、西安分、长春分、长沙分、郑州分、重庆分</t>
  </si>
  <si>
    <t>三档</t>
  </si>
  <si>
    <t>安庆分、安阳分、包头分、保定分、承德分、衡阳分、淮安分、济宁分、乐山分、临沂分、柳州分、漯河分、南充分、汕头分、宜昌分、宜春分、营口分、中山分、驻马店分、遵义分</t>
  </si>
  <si>
    <t>按分公司：合伙人季度盘价业绩
一档：每45万季度业绩配1名主任
二档：每40万季度业绩配1名主任
三档：每35万季度业绩配1名主任</t>
    <phoneticPr fontId="82" type="noConversion"/>
  </si>
  <si>
    <t>按分公司：合伙人季度盘价业绩
一档：每50万季度业绩配1名BD
二档：每45万季度业绩配1名BD
三档：每40万季度业绩配1名BD
1、编制核算到分公司，分公司总监在总额预算内自主决定主任与BD分配；对外不承诺固定BD配比。根据分公司季度盘价业绩计算，不含满减、周边文宣品。
2、首次核算：2026年10月1日，按2026年7—9月业绩首次核定
3、配置公式：下季度编制数＝向下取整（本季度业绩 ÷ 档位单价）
4、有效期：编制随季度生效、随季度到期，不跨期累积。
分公司分档：
一档：北京分、广州分、上海分、深圳分
二档：成都分、福州分、贵阳分、哈尔滨分、杭州分、合肥分、济南分、昆明分、兰州分、南昌分、南京分、南宁分、宁波分、青岛分、泉州分、沈阳分、石家庄分、苏州分、太原分、天津分、温州分、乌鲁木齐分、武汉分、西安分、长春分、长沙分、郑州分、重庆分
三档：安庆分、安阳分、包头分、保定分、承德分、衡阳分、淮安分、济宁分、乐山分、临沂分、柳州分、漯河分、南充分、汕头分、宜昌分、宜春分、营口分、中山分、驻马店分、遵义分</t>
    <phoneticPr fontId="82" type="noConversion"/>
  </si>
  <si>
    <t>长促</t>
    <phoneticPr fontId="89" type="noConversion"/>
  </si>
  <si>
    <t>招聘管控</t>
    <phoneticPr fontId="89" type="noConversion"/>
  </si>
  <si>
    <t>临促</t>
    <phoneticPr fontId="89" type="noConversion"/>
  </si>
  <si>
    <t>9月临促支持每天配置，10月起支持周五-周日及法定节假日，只进行高钙纯牛奶礼盒的售卖
1，门店陈列6个面以上，但场次最低目标POS300元
2，支持场内及场外活动，但是销量必须过门店POS
3，支持临促团购活动，但是销量必须过门店POS
4，区域执行临促活动门店，合伙人提供试饮品，并使用自采的试饮杯进行试饮
5，每个月分公司的场次，有中台导购部与LEO汇报后提前通知区域，季度费用控制在上季度盘价业绩3%左右
6，预计支持1%作为临促周边费用，实际以发给区域的周边为准</t>
    <phoneticPr fontId="82" type="noConversion"/>
  </si>
  <si>
    <t>分公司督导</t>
    <phoneticPr fontId="82" type="noConversion"/>
  </si>
  <si>
    <t>标杆省启动
山东省、河南省分公司</t>
    <phoneticPr fontId="82" type="noConversion"/>
  </si>
  <si>
    <t>分公司推广</t>
    <phoneticPr fontId="82" type="noConversion"/>
  </si>
  <si>
    <r>
      <t>薪资构成：</t>
    </r>
    <r>
      <rPr>
        <b/>
        <sz val="18"/>
        <color theme="0"/>
        <rFont val="微软雅黑"/>
        <family val="2"/>
        <charset val="134"/>
      </rPr>
      <t>底薪</t>
    </r>
    <r>
      <rPr>
        <b/>
        <sz val="12"/>
        <color theme="0"/>
        <rFont val="微软雅黑"/>
        <family val="2"/>
        <charset val="134"/>
      </rPr>
      <t>（核定底薪 +职务加给+ 岗位津贴）</t>
    </r>
    <r>
      <rPr>
        <b/>
        <sz val="20"/>
        <color theme="0"/>
        <rFont val="微软雅黑"/>
        <family val="2"/>
        <charset val="134"/>
      </rPr>
      <t>+季度提成</t>
    </r>
    <r>
      <rPr>
        <b/>
        <sz val="18"/>
        <color theme="0"/>
        <rFont val="微软雅黑"/>
        <family val="2"/>
        <charset val="134"/>
      </rPr>
      <t>+ 季度目标达成提成激励奖 + 季度目标团队奖+ 季度目标达成奖金补贴 + 季度主管评分奖金+季度直接利润排名奖+利润率提成</t>
    </r>
    <phoneticPr fontId="80" type="noConversion"/>
  </si>
  <si>
    <r>
      <rPr>
        <b/>
        <sz val="24"/>
        <color theme="0"/>
        <rFont val="微软雅黑"/>
        <family val="2"/>
        <charset val="134"/>
      </rPr>
      <t>薪资构成：</t>
    </r>
    <r>
      <rPr>
        <b/>
        <sz val="18"/>
        <color theme="0"/>
        <rFont val="微软雅黑"/>
        <family val="2"/>
        <charset val="134"/>
      </rPr>
      <t>底薪</t>
    </r>
    <r>
      <rPr>
        <b/>
        <sz val="11"/>
        <color theme="0"/>
        <rFont val="微软雅黑"/>
        <family val="2"/>
        <charset val="134"/>
      </rPr>
      <t>（核定底薪 + 岗位津贴）</t>
    </r>
    <r>
      <rPr>
        <b/>
        <sz val="18"/>
        <color theme="0"/>
        <rFont val="微软雅黑"/>
        <family val="2"/>
        <charset val="134"/>
      </rPr>
      <t>+ 季度提成 + 季度目标达成提成激励奖金 + 季度目标团队奖 + 季度目标达成奖 + 季度主管评分奖金+利润率提成</t>
    </r>
    <phoneticPr fontId="80" type="noConversion"/>
  </si>
  <si>
    <r>
      <rPr>
        <b/>
        <sz val="24"/>
        <color theme="0"/>
        <rFont val="微软雅黑"/>
        <family val="2"/>
        <charset val="134"/>
      </rPr>
      <t>薪资构成：</t>
    </r>
    <r>
      <rPr>
        <b/>
        <sz val="18"/>
        <color theme="0"/>
        <rFont val="微软雅黑"/>
        <family val="2"/>
        <charset val="134"/>
      </rPr>
      <t>底薪</t>
    </r>
    <r>
      <rPr>
        <b/>
        <sz val="11"/>
        <color theme="0"/>
        <rFont val="微软雅黑"/>
        <family val="2"/>
        <charset val="134"/>
      </rPr>
      <t>（核定底薪 + 岗位津贴）</t>
    </r>
    <r>
      <rPr>
        <b/>
        <sz val="18"/>
        <color theme="0"/>
        <rFont val="微软雅黑"/>
        <family val="2"/>
        <charset val="134"/>
      </rPr>
      <t>+ 季度提成 + 季度目标达成提成激励奖金 + 季度目标团队奖 + 季度目标达成奖 + 季度主管评分奖金+季度直接利润排名奖+利润率提成</t>
    </r>
    <phoneticPr fontId="80" type="noConversion"/>
  </si>
  <si>
    <r>
      <rPr>
        <b/>
        <sz val="12"/>
        <color theme="1"/>
        <rFont val="微软雅黑"/>
        <family val="2"/>
        <charset val="134"/>
      </rPr>
      <t xml:space="preserve">
1、核定编制 = 近1个季度月均业绩 ÷ N万
2、缺编：应配人数-当前在岗人数
3、超编管控
（1）汰换触发</t>
    </r>
    <r>
      <rPr>
        <sz val="12"/>
        <color theme="1"/>
        <rFont val="微软雅黑"/>
        <family val="2"/>
        <charset val="134"/>
      </rPr>
      <t>：近1个季度月均业绩 ＜ 当前在岗人数 × N万，且连续两个月触发，则</t>
    </r>
    <r>
      <rPr>
        <b/>
        <sz val="12"/>
        <color theme="1"/>
        <rFont val="微软雅黑"/>
        <family val="2"/>
        <charset val="134"/>
      </rPr>
      <t>次月10日内必须将人数降至核定编制内。</t>
    </r>
    <r>
      <rPr>
        <sz val="12"/>
        <color theme="1"/>
        <rFont val="微软雅黑"/>
        <family val="2"/>
        <charset val="134"/>
      </rPr>
      <t xml:space="preserve">
（2）汰换人员由省区总监自行确定，逾期未完成汰换，总部根据应有目标达成率排名，排名靠后者直接汰换；</t>
    </r>
    <phoneticPr fontId="80" type="noConversion"/>
  </si>
  <si>
    <t>超编管控</t>
    <phoneticPr fontId="80" type="noConversion"/>
  </si>
  <si>
    <t>100%以下</t>
    <phoneticPr fontId="80" type="noConversion"/>
  </si>
  <si>
    <r>
      <rPr>
        <b/>
        <sz val="12"/>
        <color theme="1"/>
        <rFont val="微软雅黑"/>
        <family val="2"/>
        <charset val="134"/>
      </rPr>
      <t xml:space="preserve">计算逻辑
奖金=底薪*20%*分数对应的系数*季度出勤率；
</t>
    </r>
    <r>
      <rPr>
        <sz val="12"/>
        <color theme="1"/>
        <rFont val="微软雅黑"/>
        <family val="2"/>
        <charset val="134"/>
      </rPr>
      <t xml:space="preserve">（1）底薪为当季度最后一个月的核定底薪+岗位津贴；
（2）排名计算：根据业务组进行全国大区过程执行对比表总排名进行得分排名，包括入、离职人员；
（3）当季度完整在职大区总监（含兼岗）人数＜4人，产品组主管可对最终分数进行修改；
（4）依据产品组主管/过程指标执行对比表最终排名与最终得分；
</t>
    </r>
    <r>
      <rPr>
        <b/>
        <sz val="12"/>
        <color theme="1"/>
        <rFont val="微软雅黑"/>
        <family val="2"/>
        <charset val="134"/>
      </rPr>
      <t>2、发放规则</t>
    </r>
    <r>
      <rPr>
        <sz val="12"/>
        <color theme="1"/>
        <rFont val="微软雅黑"/>
        <family val="2"/>
        <charset val="134"/>
      </rPr>
      <t xml:space="preserve">
（1）发放周期：季度计算+次季度第二月发放
（2）仅主岗参与评分考核；
（3）主岗非完整季度在岗（入职、离职、调岗），则无奖金；
（4）</t>
    </r>
    <r>
      <rPr>
        <sz val="12"/>
        <color rgb="FFFF0000"/>
        <rFont val="微软雅黑"/>
        <family val="2"/>
        <charset val="134"/>
      </rPr>
      <t>考勤造假</t>
    </r>
    <r>
      <rPr>
        <sz val="12"/>
        <color theme="1"/>
        <rFont val="微软雅黑"/>
        <family val="2"/>
        <charset val="134"/>
      </rPr>
      <t>：无奖金；
（5）如有稽核案取消主管评分奖；
（6）业绩同比增长率≤0，则无奖金；</t>
    </r>
    <phoneticPr fontId="80" type="noConversion"/>
  </si>
  <si>
    <r>
      <rPr>
        <b/>
        <sz val="12"/>
        <color theme="1"/>
        <rFont val="微软雅黑"/>
        <family val="2"/>
        <charset val="134"/>
      </rPr>
      <t xml:space="preserve">计算逻辑
奖金=底薪*20%*（分数/10）*季度出勤率；
</t>
    </r>
    <r>
      <rPr>
        <sz val="12"/>
        <color theme="1"/>
        <rFont val="微软雅黑"/>
        <family val="2"/>
        <charset val="134"/>
      </rPr>
      <t xml:space="preserve">（1）底薪为当季度最后一个月的核定底薪+岗位津贴；
（2）排名评分：由大区总监进行评分；
</t>
    </r>
    <r>
      <rPr>
        <b/>
        <sz val="12"/>
        <color theme="1"/>
        <rFont val="微软雅黑"/>
        <family val="2"/>
        <charset val="134"/>
      </rPr>
      <t>2、发放规则</t>
    </r>
    <r>
      <rPr>
        <sz val="12"/>
        <color theme="1"/>
        <rFont val="微软雅黑"/>
        <family val="2"/>
        <charset val="134"/>
      </rPr>
      <t xml:space="preserve">
（1）发放周期：季度计算+次季度第二月发放
（2）主岗非完整季度在岗（入职、离职、调岗），奖金不发放；
（3）</t>
    </r>
    <r>
      <rPr>
        <sz val="12"/>
        <color rgb="FFFF0000"/>
        <rFont val="微软雅黑"/>
        <family val="2"/>
        <charset val="134"/>
      </rPr>
      <t>考勤造假</t>
    </r>
    <r>
      <rPr>
        <sz val="12"/>
        <color theme="1"/>
        <rFont val="微软雅黑"/>
        <family val="2"/>
        <charset val="134"/>
      </rPr>
      <t xml:space="preserve">：无奖金；
（4）如有稽核案取消主管评分奖；
（6）业绩同比增长率≤0，则无奖金；
</t>
    </r>
    <phoneticPr fontId="80" type="noConversion"/>
  </si>
  <si>
    <r>
      <rPr>
        <b/>
        <sz val="12"/>
        <color theme="1"/>
        <rFont val="微软雅黑"/>
        <family val="2"/>
        <charset val="134"/>
      </rPr>
      <t xml:space="preserve">计算逻辑
奖金=底薪*20%*（分数/10）*季度出勤率；
</t>
    </r>
    <r>
      <rPr>
        <sz val="12"/>
        <color theme="1"/>
        <rFont val="微软雅黑"/>
        <family val="2"/>
        <charset val="134"/>
      </rPr>
      <t xml:space="preserve">（1）底薪为当季度最后一个月的核定底薪+岗位津贴；
（2）排名评分：由省区总监进行评分；
</t>
    </r>
    <r>
      <rPr>
        <b/>
        <sz val="12"/>
        <color theme="1"/>
        <rFont val="微软雅黑"/>
        <family val="2"/>
        <charset val="134"/>
      </rPr>
      <t>2、发放规则</t>
    </r>
    <r>
      <rPr>
        <sz val="12"/>
        <color theme="1"/>
        <rFont val="微软雅黑"/>
        <family val="2"/>
        <charset val="134"/>
      </rPr>
      <t xml:space="preserve">
（1）发放周期：季度计算+次季度第二月发放
（2）主岗非完整季度在岗（入职、离职、调岗），奖金不发放；
（3）考勤稽核异常（居家打卡、考勤造假）：无奖金；
（4）如有稽核案取消主管评分奖；
（5）业绩同比≤0，则无奖金；</t>
    </r>
    <phoneticPr fontId="80" type="noConversion"/>
  </si>
  <si>
    <r>
      <t>1:区域总监（</t>
    </r>
    <r>
      <rPr>
        <sz val="12"/>
        <color rgb="FFFF0000"/>
        <rFont val="微软雅黑"/>
        <family val="2"/>
        <charset val="134"/>
      </rPr>
      <t>主兼岗分开考核</t>
    </r>
    <r>
      <rPr>
        <sz val="12"/>
        <color theme="1"/>
        <rFont val="微软雅黑"/>
        <family val="2"/>
        <charset val="134"/>
      </rPr>
      <t>）
2:规则
（1）考核周期：季度
（2）逻辑：
a、按照季度直接利润排名，取直接利润最高前5名
b、如直接利润金额相同，优先取人口人均较高的分公司
c、如有获奖不发放的情形，名次不下移；
3、发放规则
（1）主岗非完整季度在岗（入职、离职、调岗），奖金不发放；
（2）季度业绩同比&lt;=0，不发放；
（3）利润额&lt;0,不发放；</t>
    </r>
    <phoneticPr fontId="80" type="noConversion"/>
  </si>
  <si>
    <t>编制管控
规则</t>
    <phoneticPr fontId="80" type="noConversion"/>
  </si>
  <si>
    <t>调薪规则</t>
    <phoneticPr fontId="80" type="noConversion"/>
  </si>
  <si>
    <t>儿童乳品组</t>
    <phoneticPr fontId="82" type="noConversion"/>
  </si>
  <si>
    <t>1、成熟度划分为：1、0-1、1-10、10-100三个阶段；
2、考核指标：竞品领先倍数；利润率；两项均达标方能晋升该等级；
3、（1）0-1：竞品领先倍数＞30，利润率＜0%
（2）1-10：20＜竞品领先倍数≤30，0%≤利润率＜10%
（3）10-100：竞品领先倍数≤20，利润率≥10%
4、按照各层级单独计算成熟度；
5、每季度更新成熟度，竞品领先倍数取去年同期竞品业绩/上季度业绩，利润率取隔月近三个月利润率</t>
    <phoneticPr fontId="82" type="noConversion"/>
  </si>
  <si>
    <t>1、编制管控人效：N万，缩编管控人效：N万；不同大区不同管控额度；
华东区：编制管控人效：7.5万，缩编管控人效：6.5万
华中区：编制管控人效：7.5万，缩编管控人效：6.5万
华北区：编制管控人效：6.5万，缩编管控人效：5.5万
滨海区：编制管控人效：6.5万，缩编管控人效：5.5万
川渝区：编制管控人效：5.5万，缩编管控人效：4.5万
云贵区：暂不控；
2、编制管控人效计算可招聘人数；缩编管控人效计算需缩编人数；
3、月均业绩/编制管控人效=管控编制（向下取整）；
4、月均业绩/缩编管控人效=缩编编制（向下取整）；
5、（1）当前人员超过管控编制则不允许招人；
（2）当前人员超过缩编编制，则需缩编至缩编编制人数；需缩编区域经理人数（向上取整）=所有业务管理岗人数-缩编编制；
6、业绩取值范围：上季度及近6个月业绩取高值；
7、人员取值范围：大区总监、省区总监、区域总监、区域经理；
8、计算范围：按大区别计算；
9、计算周期：每季度计算；
10、人员汰换完成周期：当月月底前；</t>
    <phoneticPr fontId="80" type="noConversion"/>
  </si>
  <si>
    <r>
      <rPr>
        <b/>
        <sz val="12"/>
        <color rgb="FFFF0000"/>
        <rFont val="微软雅黑"/>
        <family val="2"/>
        <charset val="134"/>
      </rPr>
      <t>1、计算逻辑</t>
    </r>
    <r>
      <rPr>
        <sz val="12"/>
        <color rgb="FFFF0000"/>
        <rFont val="微软雅黑"/>
        <family val="2"/>
        <charset val="134"/>
      </rPr>
      <t xml:space="preserve">：利润额 * 0.5%
</t>
    </r>
    <r>
      <rPr>
        <b/>
        <sz val="12"/>
        <color rgb="FFFF0000"/>
        <rFont val="微软雅黑"/>
        <family val="2"/>
        <charset val="134"/>
      </rPr>
      <t>2、利润额</t>
    </r>
    <r>
      <rPr>
        <sz val="12"/>
        <color rgb="FFFF0000"/>
        <rFont val="微软雅黑"/>
        <family val="2"/>
        <charset val="134"/>
      </rPr>
      <t xml:space="preserve">=边际贡献-用人费用
</t>
    </r>
    <r>
      <rPr>
        <b/>
        <sz val="12"/>
        <color rgb="FFFF0000"/>
        <rFont val="微软雅黑"/>
        <family val="2"/>
        <charset val="134"/>
      </rPr>
      <t>2、利润率</t>
    </r>
    <r>
      <rPr>
        <sz val="12"/>
        <color rgb="FFFF0000"/>
        <rFont val="微软雅黑"/>
        <family val="2"/>
        <charset val="134"/>
      </rPr>
      <t xml:space="preserve">：利润/财务收入
</t>
    </r>
    <r>
      <rPr>
        <b/>
        <sz val="12"/>
        <color rgb="FFFF0000"/>
        <rFont val="微软雅黑"/>
        <family val="2"/>
        <charset val="134"/>
      </rPr>
      <t>3、发放规则：</t>
    </r>
    <r>
      <rPr>
        <sz val="12"/>
        <color rgb="FFFF0000"/>
        <rFont val="微软雅黑"/>
        <family val="2"/>
        <charset val="134"/>
      </rPr>
      <t>季度计算，季度发放</t>
    </r>
    <r>
      <rPr>
        <b/>
        <sz val="12"/>
        <color rgb="FFFF0000"/>
        <rFont val="微软雅黑"/>
        <family val="2"/>
        <charset val="134"/>
      </rPr>
      <t xml:space="preserve">
4、其他</t>
    </r>
    <r>
      <rPr>
        <sz val="12"/>
        <color rgb="FFFF0000"/>
        <rFont val="微软雅黑"/>
        <family val="2"/>
        <charset val="134"/>
      </rPr>
      <t>：
（1）主岗非完整季度在岗（入职、离职、调岗），奖金不发放；
（2）离职人员不发放
（3）考勤造假：无奖金；
（4）主兼岗分开考核</t>
    </r>
    <phoneticPr fontId="80" type="noConversion"/>
  </si>
  <si>
    <r>
      <rPr>
        <b/>
        <sz val="12"/>
        <color rgb="FFFF0000"/>
        <rFont val="微软雅黑"/>
        <family val="2"/>
        <charset val="134"/>
      </rPr>
      <t>1、计算逻辑</t>
    </r>
    <r>
      <rPr>
        <sz val="12"/>
        <color rgb="FFFF0000"/>
        <rFont val="微软雅黑"/>
        <family val="2"/>
        <charset val="134"/>
      </rPr>
      <t xml:space="preserve">：利润额 * 0.5%
</t>
    </r>
    <r>
      <rPr>
        <b/>
        <sz val="12"/>
        <color rgb="FFFF0000"/>
        <rFont val="微软雅黑"/>
        <family val="2"/>
        <charset val="134"/>
      </rPr>
      <t>2、利润额</t>
    </r>
    <r>
      <rPr>
        <sz val="12"/>
        <color rgb="FFFF0000"/>
        <rFont val="微软雅黑"/>
        <family val="2"/>
        <charset val="134"/>
      </rPr>
      <t xml:space="preserve">=边际贡献-用人费用
</t>
    </r>
    <r>
      <rPr>
        <b/>
        <sz val="12"/>
        <color rgb="FFFF0000"/>
        <rFont val="微软雅黑"/>
        <family val="2"/>
        <charset val="134"/>
      </rPr>
      <t>2、利润率</t>
    </r>
    <r>
      <rPr>
        <sz val="12"/>
        <color rgb="FFFF0000"/>
        <rFont val="微软雅黑"/>
        <family val="2"/>
        <charset val="134"/>
      </rPr>
      <t>：利润/财务收入</t>
    </r>
    <r>
      <rPr>
        <b/>
        <sz val="12"/>
        <color rgb="FFFF0000"/>
        <rFont val="微软雅黑"/>
        <family val="2"/>
        <charset val="134"/>
      </rPr>
      <t xml:space="preserve">
3、发放规则：</t>
    </r>
    <r>
      <rPr>
        <sz val="12"/>
        <color rgb="FFFF0000"/>
        <rFont val="微软雅黑"/>
        <family val="2"/>
        <charset val="134"/>
      </rPr>
      <t>季度计算，季度发放</t>
    </r>
    <r>
      <rPr>
        <b/>
        <sz val="12"/>
        <color rgb="FFFF0000"/>
        <rFont val="微软雅黑"/>
        <family val="2"/>
        <charset val="134"/>
      </rPr>
      <t xml:space="preserve">
4、其他</t>
    </r>
    <r>
      <rPr>
        <sz val="12"/>
        <color rgb="FFFF0000"/>
        <rFont val="微软雅黑"/>
        <family val="2"/>
        <charset val="134"/>
      </rPr>
      <t>：
（1）主岗非完整季度在岗（入职、离职、调岗），奖金不发放；
（2）离职人员不发放
（3）考勤造假：无奖金；
（4）主兼岗分开考核</t>
    </r>
    <phoneticPr fontId="80" type="noConversion"/>
  </si>
  <si>
    <r>
      <rPr>
        <b/>
        <sz val="10"/>
        <color theme="1"/>
        <rFont val="微软雅黑"/>
        <family val="2"/>
        <charset val="134"/>
      </rPr>
      <t>一、考核品项</t>
    </r>
    <r>
      <rPr>
        <sz val="10"/>
        <color theme="1"/>
        <rFont val="微软雅黑"/>
        <family val="2"/>
        <charset val="134"/>
      </rPr>
      <t xml:space="preserve">：
产品线：所有产品线；
</t>
    </r>
    <r>
      <rPr>
        <b/>
        <sz val="10"/>
        <color theme="1"/>
        <rFont val="微软雅黑"/>
        <family val="2"/>
        <charset val="134"/>
      </rPr>
      <t>二、 考核对象</t>
    </r>
    <r>
      <rPr>
        <sz val="10"/>
        <color theme="1"/>
        <rFont val="微软雅黑"/>
        <family val="2"/>
        <charset val="134"/>
      </rPr>
      <t xml:space="preserve">：
大区总监、省区总监、区域总监
</t>
    </r>
    <r>
      <rPr>
        <b/>
        <sz val="10"/>
        <color theme="1"/>
        <rFont val="微软雅黑"/>
        <family val="2"/>
        <charset val="134"/>
      </rPr>
      <t>三、考核周期：</t>
    </r>
    <r>
      <rPr>
        <sz val="10"/>
        <color theme="1"/>
        <rFont val="微软雅黑"/>
        <family val="2"/>
        <charset val="134"/>
      </rPr>
      <t xml:space="preserve">
月度核算、月度扣罚
</t>
    </r>
    <r>
      <rPr>
        <b/>
        <sz val="10"/>
        <color theme="1"/>
        <rFont val="微软雅黑"/>
        <family val="2"/>
        <charset val="134"/>
      </rPr>
      <t>四、考核规则：</t>
    </r>
    <r>
      <rPr>
        <sz val="10"/>
        <color theme="1"/>
        <rFont val="微软雅黑"/>
        <family val="2"/>
        <charset val="134"/>
      </rPr>
      <t xml:space="preserve">
</t>
    </r>
    <r>
      <rPr>
        <b/>
        <sz val="10"/>
        <color theme="1"/>
        <rFont val="微软雅黑"/>
        <family val="2"/>
        <charset val="134"/>
      </rPr>
      <t>1、回收类型</t>
    </r>
    <r>
      <rPr>
        <sz val="10"/>
        <color theme="1"/>
        <rFont val="微软雅黑"/>
        <family val="2"/>
        <charset val="134"/>
      </rPr>
      <t xml:space="preserve">
（1）申请回收：先进先出品项，业务可申请总部处理；
（2）强制回收：总部强制把业务库存回收处理；
</t>
    </r>
    <r>
      <rPr>
        <b/>
        <sz val="10"/>
        <color theme="1"/>
        <rFont val="微软雅黑"/>
        <family val="2"/>
        <charset val="134"/>
      </rPr>
      <t>2、计算逻辑
（1）扣罚金额</t>
    </r>
    <r>
      <rPr>
        <sz val="10"/>
        <color theme="1"/>
        <rFont val="微软雅黑"/>
        <family val="2"/>
        <charset val="134"/>
      </rPr>
      <t xml:space="preserve">=回收（强制回收、申请回收）货值*提成系数；
</t>
    </r>
    <r>
      <rPr>
        <b/>
        <sz val="10"/>
        <color theme="1"/>
        <rFont val="微软雅黑"/>
        <family val="2"/>
        <charset val="134"/>
      </rPr>
      <t>（2）货值</t>
    </r>
    <r>
      <rPr>
        <sz val="10"/>
        <color theme="1"/>
        <rFont val="微软雅黑"/>
        <family val="2"/>
        <charset val="134"/>
      </rPr>
      <t>=回收（强制回收、申请回收）箱数*合伙人供货价；
（3）申请回收、强制回收箱数以实际回收箱数为准；
（4）实际回收箱数：以分配后剩余可售箱数为基准，借入借出均会导致箱数增减。
3、当月不够扣罚则延续至次月继续扣罚；
4、</t>
    </r>
    <r>
      <rPr>
        <sz val="10"/>
        <color rgb="FFFF0000"/>
        <rFont val="微软雅黑"/>
        <family val="2"/>
        <charset val="134"/>
      </rPr>
      <t>同组同岗位销售预估审核人为同一人扣罚，非同一人不扣罚；</t>
    </r>
    <r>
      <rPr>
        <sz val="10"/>
        <color theme="1"/>
        <rFont val="微软雅黑"/>
        <family val="2"/>
        <charset val="134"/>
      </rPr>
      <t xml:space="preserve">
5、货需回收前，可销被下架，免扣罚；</t>
    </r>
    <phoneticPr fontId="80" type="noConversion"/>
  </si>
  <si>
    <r>
      <t>1:大区总监</t>
    </r>
    <r>
      <rPr>
        <sz val="12"/>
        <color rgb="FFFF0000"/>
        <rFont val="微软雅黑"/>
        <family val="2"/>
        <charset val="134"/>
      </rPr>
      <t>（主兼岗分开考核）</t>
    </r>
    <r>
      <rPr>
        <sz val="12"/>
        <color theme="1"/>
        <rFont val="微软雅黑"/>
        <family val="2"/>
        <charset val="134"/>
      </rPr>
      <t xml:space="preserve">
2:规则
（1）考核周期：季度
（2）逻辑：
a、按照季度直接利润排名，取直接利润最高前5名
b、如直接利润金额相同，优先取人口人均较高的大区
c、如有获奖不发放的情形，名次不下移；
3、发放规则
（1）主岗非完整季度在岗（入职、离职、调岗），奖金不发放；
（2）离职人员不发放
（3）季度业绩同比增长率&lt;=0，不发放；
（4）利润额&lt;0,不发放；
</t>
    </r>
    <phoneticPr fontId="80" type="noConversion"/>
  </si>
  <si>
    <r>
      <t xml:space="preserve">晋级
1、周期：每季度首月可进行晋级；
2、规则：
</t>
    </r>
    <r>
      <rPr>
        <sz val="14"/>
        <color theme="1"/>
        <rFont val="微软雅黑"/>
        <family val="2"/>
        <charset val="134"/>
      </rPr>
      <t xml:space="preserve">（1）季度目标达成率≥100%，方可晋级；
</t>
    </r>
    <r>
      <rPr>
        <sz val="14"/>
        <color rgb="FFFF0000"/>
        <rFont val="微软雅黑"/>
        <family val="2"/>
        <charset val="134"/>
      </rPr>
      <t>（2）每次调薪，级别上调不能超过2级；</t>
    </r>
    <r>
      <rPr>
        <sz val="14"/>
        <color theme="1"/>
        <rFont val="微软雅黑"/>
        <family val="2"/>
        <charset val="134"/>
      </rPr>
      <t xml:space="preserve">
（3）同时季度调薪与年度调薪不超过大区总监薪资权限；
</t>
    </r>
    <r>
      <rPr>
        <b/>
        <sz val="14"/>
        <color theme="1"/>
        <rFont val="微软雅黑"/>
        <family val="2"/>
        <charset val="134"/>
      </rPr>
      <t xml:space="preserve">
降级
1、周期：每月均支持降级
2、规则：
</t>
    </r>
    <r>
      <rPr>
        <sz val="14"/>
        <color rgb="FFFF0000"/>
        <rFont val="微软雅黑"/>
        <family val="2"/>
        <charset val="134"/>
      </rPr>
      <t xml:space="preserve">（1）单月度目标达成率&lt;80%，可降1级；
（2）单月度目标达成率&lt;65%，可降2级；
</t>
    </r>
    <r>
      <rPr>
        <sz val="14"/>
        <color theme="1"/>
        <rFont val="微软雅黑"/>
        <family val="2"/>
        <charset val="134"/>
      </rPr>
      <t>（3）其他情形降级，特殊提报；
（4）可降级代表满足条件后，上级可对下级进行降级操作。</t>
    </r>
    <r>
      <rPr>
        <b/>
        <sz val="14"/>
        <color theme="1"/>
        <rFont val="微软雅黑"/>
        <family val="2"/>
        <charset val="134"/>
      </rPr>
      <t xml:space="preserve">
</t>
    </r>
    <r>
      <rPr>
        <b/>
        <sz val="14"/>
        <color rgb="FFFF0000"/>
        <rFont val="微软雅黑"/>
        <family val="2"/>
        <charset val="134"/>
      </rPr>
      <t>调薪规则适用于所有类型岗位、薪资异动</t>
    </r>
    <phoneticPr fontId="80" type="noConversion"/>
  </si>
  <si>
    <t>考核指标&amp;标准
1、目标达成率：（1）月度目标达成率≥75%，（2）季度累计目标达成率≥75%；
2、过程管理（团队）：（1）月度过程管理的分≥90%，（2）季度内月均过程管理的分≥90%；
3、过程管理（个人）：（1）月度过程管理的分≥90%，（2）季度内月均过程管理的分≥90%
三方在职满3个月，在职期间无稽核案（过程考核造假、费用虚假、窜货乱价）重大客户投诉、给公司带来损失等现象</t>
    <phoneticPr fontId="80" type="noConversion"/>
  </si>
  <si>
    <t>考核指标&amp;标准
1、目标达成率：（1）月度目标达成率≥75%，（2）季度累计目标达成率≥75%；
2、过程管理（个人）：（1）月度过程管理的分≥90%，（2）季度内月均过程管理的分≥90%
三方在职满6个月，在职期间无稽核案（过程考核造假、费用虚假、窜货乱价）重大客户投诉、给公司带来损失等现象</t>
    <phoneticPr fontId="80" type="noConversion"/>
  </si>
  <si>
    <t>三方编制不可转签旺旺</t>
    <phoneticPr fontId="80" type="noConversion"/>
  </si>
  <si>
    <r>
      <rPr>
        <b/>
        <sz val="14"/>
        <color rgb="FFFF0000"/>
        <rFont val="微软雅黑"/>
        <family val="2"/>
        <charset val="134"/>
      </rPr>
      <t xml:space="preserve">回调率率考核
</t>
    </r>
    <r>
      <rPr>
        <b/>
        <sz val="10"/>
        <color rgb="FFFF0000"/>
        <rFont val="微软雅黑"/>
        <family val="2"/>
        <charset val="134"/>
      </rPr>
      <t xml:space="preserve">
</t>
    </r>
    <r>
      <rPr>
        <b/>
        <sz val="12"/>
        <color rgb="FFFF0000"/>
        <rFont val="微软雅黑"/>
        <family val="2"/>
        <charset val="134"/>
      </rPr>
      <t>1、考核业务组：</t>
    </r>
    <r>
      <rPr>
        <sz val="12"/>
        <color rgb="FFFF0000"/>
        <rFont val="微软雅黑"/>
        <family val="2"/>
        <charset val="134"/>
      </rPr>
      <t>儿童乳品组、旺旺乳品组、标箱组、冰品经典组、冰品孵化组</t>
    </r>
    <r>
      <rPr>
        <b/>
        <sz val="12"/>
        <color rgb="FFFF0000"/>
        <rFont val="微软雅黑"/>
        <family val="2"/>
        <charset val="134"/>
      </rPr>
      <t xml:space="preserve">
2、考核岗位：</t>
    </r>
    <r>
      <rPr>
        <sz val="12"/>
        <color rgb="FFFF0000"/>
        <rFont val="微软雅黑"/>
        <family val="2"/>
        <charset val="134"/>
      </rPr>
      <t>大区总监、省区总监、区域总监、区域经理</t>
    </r>
    <r>
      <rPr>
        <b/>
        <sz val="12"/>
        <color rgb="FFFF0000"/>
        <rFont val="微软雅黑"/>
        <family val="2"/>
        <charset val="134"/>
      </rPr>
      <t xml:space="preserve">
3、回调率</t>
    </r>
    <r>
      <rPr>
        <sz val="12"/>
        <color rgb="FFFF0000"/>
        <rFont val="微软雅黑"/>
        <family val="2"/>
        <charset val="134"/>
      </rPr>
      <t xml:space="preserve"> = 单品项回调数量 / 单品项单批次总销售数量
</t>
    </r>
    <r>
      <rPr>
        <b/>
        <sz val="12"/>
        <color rgb="FFFF0000"/>
        <rFont val="微软雅黑"/>
        <family val="2"/>
        <charset val="134"/>
      </rPr>
      <t xml:space="preserve">4、考核规则
</t>
    </r>
    <r>
      <rPr>
        <sz val="12"/>
        <color rgb="FFFF0000"/>
        <rFont val="微软雅黑"/>
        <family val="2"/>
        <charset val="134"/>
      </rPr>
      <t>按照品项、批次分别计算考核周期内的售后率，进行扣罚</t>
    </r>
    <r>
      <rPr>
        <b/>
        <sz val="12"/>
        <color rgb="FFFF0000"/>
        <rFont val="微软雅黑"/>
        <family val="2"/>
        <charset val="134"/>
      </rPr>
      <t xml:space="preserve">
</t>
    </r>
    <r>
      <rPr>
        <sz val="12"/>
        <color rgb="FFFF0000"/>
        <rFont val="微软雅黑"/>
        <family val="2"/>
        <charset val="134"/>
      </rPr>
      <t xml:space="preserve">回调数量占比 &lt; 10%；不扣罚
回调数量占比 ≥ 10%；售后盘价业绩*提成系数
回调数量占比 ≥ 20%；售后盘价业绩*提成系数*2
</t>
    </r>
    <r>
      <rPr>
        <b/>
        <sz val="12"/>
        <color rgb="FFFF0000"/>
        <rFont val="微软雅黑"/>
        <family val="2"/>
        <charset val="134"/>
      </rPr>
      <t>5、考核周期</t>
    </r>
    <r>
      <rPr>
        <sz val="12"/>
        <color rgb="FFFF0000"/>
        <rFont val="微软雅黑"/>
        <family val="2"/>
        <charset val="134"/>
      </rPr>
      <t>：儿童乳品组：季度</t>
    </r>
    <phoneticPr fontId="8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</si>
</sst>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7" formatCode="0_);[Red]\(0\)"/>
    <numFmt numFmtId="178" formatCode="0.0_);[Red]\(0.0\)"/>
  </numFmts>
  <fonts count="96">
    <font>
      <sz val="12"/>
      <color theme="1"/>
      <name val="等线"/>
      <charset val="134"/>
      <scheme val="minor"/>
    </font>
    <font>
      <b/>
      <sz val="20"/>
      <color rgb="FFFF0000"/>
      <name val="微软雅黑"/>
      <family val="2"/>
      <charset val="134"/>
    </font>
    <font>
      <sz val="20"/>
      <color theme="1"/>
      <name val="微软雅黑"/>
      <family val="2"/>
      <charset val="134"/>
    </font>
    <font>
      <sz val="14"/>
      <color theme="1"/>
      <name val="微软雅黑"/>
      <family val="2"/>
      <charset val="134"/>
    </font>
    <font>
      <b/>
      <sz val="14"/>
      <color rgb="FFFF0000"/>
      <name val="微软雅黑"/>
      <family val="2"/>
      <charset val="134"/>
    </font>
    <font>
      <b/>
      <sz val="14"/>
      <color theme="1"/>
      <name val="微软雅黑"/>
      <family val="2"/>
      <charset val="134"/>
    </font>
    <font>
      <sz val="11"/>
      <name val="微软雅黑"/>
      <family val="2"/>
      <charset val="134"/>
    </font>
    <font>
      <sz val="11"/>
      <color theme="1"/>
      <name val="微软雅黑"/>
      <family val="2"/>
      <charset val="134"/>
    </font>
    <font>
      <sz val="12"/>
      <color theme="1"/>
      <name val="微软雅黑"/>
      <family val="2"/>
      <charset val="134"/>
    </font>
    <font>
      <b/>
      <sz val="12"/>
      <color theme="1"/>
      <name val="微软雅黑"/>
      <family val="2"/>
      <charset val="134"/>
    </font>
    <font>
      <sz val="12"/>
      <color theme="0"/>
      <name val="微软雅黑"/>
      <family val="2"/>
      <charset val="134"/>
    </font>
    <font>
      <sz val="12"/>
      <color rgb="FF000000"/>
      <name val="等线"/>
      <family val="4"/>
      <charset val="134"/>
      <scheme val="minor"/>
    </font>
    <font>
      <b/>
      <sz val="20"/>
      <color theme="0"/>
      <name val="微软雅黑"/>
      <family val="2"/>
      <charset val="134"/>
    </font>
    <font>
      <sz val="12"/>
      <name val="微软雅黑"/>
      <family val="2"/>
      <charset val="134"/>
    </font>
    <font>
      <sz val="12"/>
      <color rgb="FF000000"/>
      <name val="微软雅黑"/>
      <family val="2"/>
      <charset val="134"/>
    </font>
    <font>
      <sz val="12"/>
      <color rgb="FFFF0000"/>
      <name val="微软雅黑"/>
      <family val="2"/>
      <charset val="134"/>
    </font>
    <font>
      <sz val="10"/>
      <color theme="0"/>
      <name val="微软雅黑"/>
      <family val="2"/>
      <charset val="134"/>
    </font>
    <font>
      <sz val="10"/>
      <color rgb="FFFF0000"/>
      <name val="微软雅黑"/>
      <family val="2"/>
      <charset val="134"/>
    </font>
    <font>
      <sz val="11"/>
      <color rgb="FFFF0000"/>
      <name val="微软雅黑"/>
      <family val="2"/>
      <charset val="134"/>
    </font>
    <font>
      <b/>
      <sz val="12"/>
      <color rgb="FFFFFFFF"/>
      <name val="微软雅黑"/>
      <family val="2"/>
      <charset val="134"/>
    </font>
    <font>
      <b/>
      <sz val="12"/>
      <name val="微软雅黑"/>
      <family val="2"/>
      <charset val="134"/>
    </font>
    <font>
      <b/>
      <sz val="12"/>
      <color theme="0"/>
      <name val="微软雅黑"/>
      <family val="2"/>
      <charset val="134"/>
    </font>
    <font>
      <sz val="12"/>
      <color theme="1"/>
      <name val="等线"/>
      <family val="4"/>
      <charset val="134"/>
      <scheme val="minor"/>
    </font>
    <font>
      <b/>
      <sz val="10"/>
      <color theme="0"/>
      <name val="微软雅黑"/>
      <family val="2"/>
      <charset val="134"/>
    </font>
    <font>
      <b/>
      <sz val="10.5"/>
      <color theme="0"/>
      <name val="微软雅黑"/>
      <family val="2"/>
      <charset val="134"/>
    </font>
    <font>
      <b/>
      <sz val="16"/>
      <color rgb="FFFFFFFF"/>
      <name val="微软雅黑"/>
      <family val="2"/>
      <charset val="134"/>
    </font>
    <font>
      <b/>
      <sz val="12"/>
      <color theme="1"/>
      <name val="等线"/>
      <family val="4"/>
      <charset val="134"/>
      <scheme val="minor"/>
    </font>
    <font>
      <sz val="10"/>
      <color theme="1"/>
      <name val="微软雅黑"/>
      <family val="2"/>
      <charset val="134"/>
    </font>
    <font>
      <sz val="8"/>
      <color theme="1"/>
      <name val="微软雅黑"/>
      <family val="2"/>
      <charset val="134"/>
    </font>
    <font>
      <sz val="8"/>
      <color rgb="FFFF0000"/>
      <name val="微软雅黑"/>
      <family val="2"/>
      <charset val="134"/>
    </font>
    <font>
      <b/>
      <sz val="18"/>
      <color theme="0"/>
      <name val="微软雅黑"/>
      <family val="2"/>
      <charset val="134"/>
    </font>
    <font>
      <b/>
      <sz val="14"/>
      <color theme="0"/>
      <name val="微软雅黑"/>
      <family val="2"/>
      <charset val="134"/>
    </font>
    <font>
      <b/>
      <sz val="12"/>
      <color rgb="FFFF0000"/>
      <name val="微软雅黑"/>
      <family val="2"/>
      <charset val="134"/>
    </font>
    <font>
      <sz val="14"/>
      <color rgb="FFFF0000"/>
      <name val="微软雅黑"/>
      <family val="2"/>
      <charset val="134"/>
    </font>
    <font>
      <sz val="12"/>
      <color rgb="FFFFFFFF"/>
      <name val="等线"/>
      <family val="4"/>
      <charset val="134"/>
      <scheme val="minor"/>
    </font>
    <font>
      <b/>
      <sz val="12"/>
      <color theme="1"/>
      <name val="等线"/>
      <family val="4"/>
      <charset val="134"/>
      <scheme val="minor"/>
    </font>
    <font>
      <sz val="12"/>
      <color rgb="FFFF0000"/>
      <name val="等线"/>
      <family val="4"/>
      <charset val="134"/>
      <scheme val="minor"/>
    </font>
    <font>
      <sz val="12"/>
      <color rgb="FFFFFFFF"/>
      <name val="微软雅黑"/>
      <family val="2"/>
      <charset val="134"/>
    </font>
    <font>
      <b/>
      <sz val="12"/>
      <color rgb="FFFF0000"/>
      <name val="等线"/>
      <family val="4"/>
      <charset val="134"/>
      <scheme val="minor"/>
    </font>
    <font>
      <b/>
      <sz val="12"/>
      <color rgb="FF00B050"/>
      <name val="等线"/>
      <family val="4"/>
      <charset val="134"/>
      <scheme val="minor"/>
    </font>
    <font>
      <b/>
      <sz val="18"/>
      <color theme="1"/>
      <name val="微软雅黑"/>
      <family val="2"/>
      <charset val="134"/>
    </font>
    <font>
      <b/>
      <sz val="20"/>
      <color rgb="FF0070C0"/>
      <name val="微软雅黑"/>
      <family val="2"/>
      <charset val="134"/>
    </font>
    <font>
      <b/>
      <sz val="36"/>
      <color rgb="FF0070C0"/>
      <name val="微软雅黑"/>
      <family val="2"/>
      <charset val="134"/>
    </font>
    <font>
      <b/>
      <sz val="36"/>
      <color theme="1"/>
      <name val="微软雅黑"/>
      <family val="2"/>
      <charset val="134"/>
    </font>
    <font>
      <b/>
      <sz val="14"/>
      <color rgb="FFFFFF00"/>
      <name val="微软雅黑"/>
      <family val="2"/>
      <charset val="134"/>
    </font>
    <font>
      <b/>
      <sz val="28"/>
      <color theme="1"/>
      <name val="微软雅黑"/>
      <family val="2"/>
      <charset val="134"/>
    </font>
    <font>
      <sz val="28"/>
      <color theme="1"/>
      <name val="微软雅黑"/>
      <family val="2"/>
      <charset val="134"/>
    </font>
    <font>
      <b/>
      <sz val="20"/>
      <color theme="1"/>
      <name val="微软雅黑"/>
      <family val="2"/>
      <charset val="134"/>
    </font>
    <font>
      <sz val="14"/>
      <color theme="1" tint="0.499984740745262"/>
      <name val="微软雅黑"/>
      <family val="2"/>
      <charset val="134"/>
    </font>
    <font>
      <sz val="14"/>
      <color theme="0"/>
      <name val="微软雅黑"/>
      <family val="2"/>
      <charset val="134"/>
    </font>
    <font>
      <b/>
      <sz val="20"/>
      <color theme="4"/>
      <name val="微软雅黑"/>
      <family val="2"/>
      <charset val="134"/>
    </font>
    <font>
      <b/>
      <sz val="9"/>
      <color theme="0"/>
      <name val="微软雅黑"/>
      <family val="2"/>
      <charset val="134"/>
    </font>
    <font>
      <b/>
      <sz val="8"/>
      <color theme="0"/>
      <name val="微软雅黑"/>
      <family val="2"/>
      <charset val="134"/>
    </font>
    <font>
      <sz val="14"/>
      <color rgb="FF000000"/>
      <name val="微软雅黑"/>
      <family val="2"/>
      <charset val="134"/>
    </font>
    <font>
      <b/>
      <sz val="11"/>
      <color theme="1"/>
      <name val="微软雅黑"/>
      <family val="2"/>
      <charset val="134"/>
    </font>
    <font>
      <sz val="9"/>
      <color theme="1"/>
      <name val="微软雅黑"/>
      <family val="2"/>
      <charset val="134"/>
    </font>
    <font>
      <b/>
      <sz val="12"/>
      <color theme="9"/>
      <name val="微软雅黑"/>
      <family val="2"/>
      <charset val="134"/>
    </font>
    <font>
      <b/>
      <sz val="11"/>
      <color theme="0"/>
      <name val="微软雅黑"/>
      <family val="2"/>
      <charset val="134"/>
    </font>
    <font>
      <b/>
      <sz val="48"/>
      <color rgb="FF0070C0"/>
      <name val="微软雅黑"/>
      <family val="2"/>
      <charset val="134"/>
    </font>
    <font>
      <b/>
      <sz val="16"/>
      <color theme="0"/>
      <name val="微软雅黑"/>
      <family val="2"/>
      <charset val="134"/>
    </font>
    <font>
      <b/>
      <sz val="12"/>
      <color rgb="FFFFFF00"/>
      <name val="微软雅黑"/>
      <family val="2"/>
      <charset val="134"/>
    </font>
    <font>
      <b/>
      <sz val="26"/>
      <color theme="4"/>
      <name val="微软雅黑"/>
      <family val="2"/>
      <charset val="134"/>
    </font>
    <font>
      <b/>
      <sz val="24"/>
      <color theme="0"/>
      <name val="微软雅黑"/>
      <family val="2"/>
      <charset val="134"/>
    </font>
    <font>
      <b/>
      <sz val="16"/>
      <color theme="1"/>
      <name val="微软雅黑"/>
      <family val="2"/>
      <charset val="134"/>
    </font>
    <font>
      <sz val="10"/>
      <color indexed="8"/>
      <name val="微软雅黑"/>
      <family val="2"/>
      <charset val="134"/>
    </font>
    <font>
      <b/>
      <sz val="12"/>
      <color rgb="FFC00000"/>
      <name val="微软雅黑"/>
      <family val="2"/>
      <charset val="134"/>
    </font>
    <font>
      <sz val="9"/>
      <color rgb="FFFF0000"/>
      <name val="微软雅黑"/>
      <family val="2"/>
      <charset val="134"/>
    </font>
    <font>
      <sz val="9"/>
      <color theme="4"/>
      <name val="微软雅黑"/>
      <family val="2"/>
      <charset val="134"/>
    </font>
    <font>
      <b/>
      <sz val="9"/>
      <color theme="1"/>
      <name val="微软雅黑"/>
      <family val="2"/>
      <charset val="134"/>
    </font>
    <font>
      <sz val="8"/>
      <color theme="4"/>
      <name val="微软雅黑"/>
      <family val="2"/>
      <charset val="134"/>
    </font>
    <font>
      <b/>
      <sz val="10"/>
      <color indexed="8"/>
      <name val="微软雅黑"/>
      <family val="2"/>
      <charset val="134"/>
    </font>
    <font>
      <sz val="10"/>
      <color indexed="8"/>
      <name val="Helvetica Neue"/>
      <family val="2"/>
    </font>
    <font>
      <sz val="11"/>
      <color theme="1"/>
      <name val="等线"/>
      <family val="4"/>
      <charset val="134"/>
      <scheme val="minor"/>
    </font>
    <font>
      <sz val="11"/>
      <color theme="1"/>
      <name val="等线"/>
      <family val="4"/>
      <charset val="134"/>
      <scheme val="minor"/>
    </font>
    <font>
      <sz val="11"/>
      <color indexed="8"/>
      <name val="等线"/>
      <family val="4"/>
      <charset val="134"/>
      <scheme val="minor"/>
    </font>
    <font>
      <sz val="11"/>
      <color theme="4"/>
      <name val="微软雅黑"/>
      <family val="2"/>
      <charset val="134"/>
    </font>
    <font>
      <b/>
      <sz val="10"/>
      <color theme="1"/>
      <name val="微软雅黑"/>
      <family val="2"/>
      <charset val="134"/>
    </font>
    <font>
      <b/>
      <sz val="11"/>
      <color rgb="FFFF0000"/>
      <name val="微软雅黑"/>
      <family val="2"/>
      <charset val="134"/>
    </font>
    <font>
      <sz val="12"/>
      <color theme="4"/>
      <name val="微软雅黑"/>
      <family val="2"/>
      <charset val="134"/>
    </font>
    <font>
      <sz val="12"/>
      <color theme="1"/>
      <name val="等线"/>
      <family val="4"/>
      <charset val="134"/>
      <scheme val="minor"/>
    </font>
    <font>
      <sz val="9"/>
      <name val="等线"/>
      <family val="4"/>
      <charset val="134"/>
      <scheme val="minor"/>
    </font>
    <font>
      <b/>
      <sz val="12"/>
      <color rgb="FF7030A0"/>
      <name val="微软雅黑"/>
      <family val="2"/>
      <charset val="134"/>
    </font>
    <font>
      <sz val="9"/>
      <name val="等线"/>
      <family val="2"/>
      <charset val="134"/>
      <scheme val="minor"/>
    </font>
    <font>
      <sz val="8"/>
      <color theme="9" tint="-0.249977111117893"/>
      <name val="微软雅黑"/>
      <family val="2"/>
      <charset val="134"/>
    </font>
    <font>
      <sz val="11"/>
      <color rgb="FF0070C0"/>
      <name val="微软雅黑"/>
      <family val="2"/>
      <charset val="134"/>
    </font>
    <font>
      <b/>
      <sz val="12"/>
      <color theme="4"/>
      <name val="微软雅黑"/>
      <family val="2"/>
      <charset val="134"/>
    </font>
    <font>
      <sz val="10"/>
      <color theme="1"/>
      <name val="Cambria Math"/>
      <family val="2"/>
      <charset val="1"/>
    </font>
    <font>
      <b/>
      <sz val="16"/>
      <color rgb="FFFF0000"/>
      <name val="微软雅黑"/>
      <family val="2"/>
      <charset val="134"/>
    </font>
    <font>
      <b/>
      <sz val="10"/>
      <color rgb="FFFF0000"/>
      <name val="微软雅黑"/>
      <family val="2"/>
      <charset val="134"/>
    </font>
    <font>
      <sz val="9"/>
      <name val="等线"/>
      <family val="3"/>
      <charset val="134"/>
      <scheme val="minor"/>
    </font>
    <font>
      <sz val="48"/>
      <color rgb="FF7030A0"/>
      <name val="微软雅黑"/>
      <family val="2"/>
      <charset val="134"/>
    </font>
    <font>
      <sz val="10"/>
      <color rgb="FF000000"/>
      <name val="等线"/>
      <family val="4"/>
      <charset val="134"/>
      <scheme val="minor"/>
    </font>
    <font>
      <b/>
      <sz val="10"/>
      <color rgb="FF000000"/>
      <name val="等线"/>
      <family val="4"/>
      <charset val="134"/>
      <scheme val="minor"/>
    </font>
    <font>
      <b/>
      <sz val="12"/>
      <color indexed="8"/>
      <name val="微软雅黑"/>
      <family val="2"/>
      <charset val="134"/>
    </font>
    <font>
      <b/>
      <sz val="12"/>
      <color rgb="FF000000"/>
      <name val="微软雅黑"/>
      <family val="2"/>
      <charset val="134"/>
    </font>
    <font>
      <sz val="12"/>
      <color theme="0"/>
      <name val="等线"/>
      <family val="2"/>
      <charset val="134"/>
      <scheme val="minor"/>
    </font>
  </fonts>
  <fills count="22">
    <fill>
      <patternFill patternType="none"/>
    </fill>
    <fill>
      <patternFill patternType="gray125"/>
    </fill>
    <fill>
      <patternFill patternType="solid">
        <fgColor theme="3" tint="0.79995117038483843"/>
        <bgColor indexed="64"/>
      </patternFill>
    </fill>
    <fill>
      <patternFill patternType="solid">
        <fgColor theme="7" tint="0.79995117038483843"/>
        <bgColor indexed="64"/>
      </patternFill>
    </fill>
    <fill>
      <patternFill patternType="solid">
        <fgColor theme="9" tint="0.79995117038483843"/>
        <bgColor indexed="64"/>
      </patternFill>
    </fill>
    <fill>
      <patternFill patternType="solid">
        <fgColor theme="4"/>
        <bgColor indexed="64"/>
      </patternFill>
    </fill>
    <fill>
      <patternFill patternType="solid">
        <fgColor theme="0"/>
        <bgColor indexed="64"/>
      </patternFill>
    </fill>
    <fill>
      <patternFill patternType="solid">
        <fgColor rgb="FFFFFFFF"/>
        <bgColor indexed="64"/>
      </patternFill>
    </fill>
    <fill>
      <patternFill patternType="solid">
        <fgColor rgb="FFFFFF00"/>
        <bgColor indexed="64"/>
      </patternFill>
    </fill>
    <fill>
      <patternFill patternType="solid">
        <fgColor rgb="FF000000"/>
        <bgColor indexed="64"/>
      </patternFill>
    </fill>
    <fill>
      <patternFill patternType="solid">
        <fgColor theme="5" tint="0.79995117038483843"/>
        <bgColor indexed="64"/>
      </patternFill>
    </fill>
    <fill>
      <patternFill patternType="solid">
        <fgColor rgb="FF4472C4"/>
        <bgColor indexed="64"/>
      </patternFill>
    </fill>
    <fill>
      <patternFill patternType="solid">
        <fgColor theme="0" tint="-4.9989318521683403E-2"/>
        <bgColor indexed="64"/>
      </patternFill>
    </fill>
    <fill>
      <patternFill patternType="solid">
        <fgColor theme="4" tint="0.79995117038483843"/>
        <bgColor indexed="64"/>
      </patternFill>
    </fill>
    <fill>
      <patternFill patternType="solid">
        <fgColor theme="8" tint="0.59999389629810485"/>
        <bgColor indexed="64"/>
      </patternFill>
    </fill>
    <fill>
      <patternFill patternType="solid">
        <fgColor theme="8" tint="0.79995117038483843"/>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F2F3F5"/>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rgb="FF0070C0"/>
        <bgColor indexed="64"/>
      </patternFill>
    </fill>
  </fills>
  <borders count="10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theme="1"/>
      </left>
      <right style="thin">
        <color theme="1"/>
      </right>
      <top style="thin">
        <color theme="1"/>
      </top>
      <bottom style="thin">
        <color theme="1"/>
      </bottom>
      <diagonal/>
    </border>
    <border>
      <left style="thin">
        <color rgb="FF000000"/>
      </left>
      <right/>
      <top style="thin">
        <color rgb="FF000000"/>
      </top>
      <bottom style="thin">
        <color rgb="FF000000"/>
      </bottom>
      <diagonal/>
    </border>
    <border>
      <left/>
      <right/>
      <top/>
      <bottom style="thin">
        <color auto="1"/>
      </bottom>
      <diagonal/>
    </border>
    <border>
      <left style="thin">
        <color rgb="FF000000"/>
      </left>
      <right style="thin">
        <color rgb="FF000000"/>
      </right>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top style="thin">
        <color auto="1"/>
      </top>
      <bottom/>
      <diagonal/>
    </border>
    <border>
      <left/>
      <right style="thin">
        <color auto="1"/>
      </right>
      <top style="thin">
        <color auto="1"/>
      </top>
      <bottom/>
      <diagonal/>
    </border>
    <border>
      <left style="medium">
        <color auto="1"/>
      </left>
      <right/>
      <top/>
      <bottom/>
      <diagonal/>
    </border>
    <border>
      <left/>
      <right/>
      <top/>
      <bottom style="medium">
        <color auto="1"/>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right style="thin">
        <color auto="1"/>
      </right>
      <top style="thin">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medium">
        <color auto="1"/>
      </right>
      <top/>
      <bottom style="thin">
        <color auto="1"/>
      </bottom>
      <diagonal/>
    </border>
    <border>
      <left style="thin">
        <color auto="1"/>
      </left>
      <right/>
      <top/>
      <bottom/>
      <diagonal/>
    </border>
    <border>
      <left/>
      <right style="thin">
        <color auto="1"/>
      </right>
      <top/>
      <bottom/>
      <diagonal/>
    </border>
    <border>
      <left/>
      <right/>
      <top style="medium">
        <color auto="1"/>
      </top>
      <bottom style="thin">
        <color auto="1"/>
      </bottom>
      <diagonal/>
    </border>
    <border>
      <left style="medium">
        <color auto="1"/>
      </left>
      <right style="thin">
        <color auto="1"/>
      </right>
      <top style="medium">
        <color auto="1"/>
      </top>
      <bottom/>
      <diagonal/>
    </border>
    <border>
      <left style="medium">
        <color auto="1"/>
      </left>
      <right style="thin">
        <color auto="1"/>
      </right>
      <top/>
      <bottom style="medium">
        <color auto="1"/>
      </bottom>
      <diagonal/>
    </border>
    <border>
      <left style="thin">
        <color theme="0" tint="-0.499984740745262"/>
      </left>
      <right/>
      <top style="medium">
        <color theme="0" tint="-0.499984740745262"/>
      </top>
      <bottom/>
      <diagonal/>
    </border>
    <border>
      <left style="thin">
        <color theme="0" tint="-0.499984740745262"/>
      </left>
      <right/>
      <top style="medium">
        <color theme="0" tint="-0.499984740745262"/>
      </top>
      <bottom style="thin">
        <color theme="0" tint="-0.499984740745262"/>
      </bottom>
      <diagonal/>
    </border>
    <border>
      <left/>
      <right style="medium">
        <color theme="0" tint="-0.499984740745262"/>
      </right>
      <top style="medium">
        <color theme="0" tint="-0.499984740745262"/>
      </top>
      <bottom style="thin">
        <color theme="0" tint="-0.499984740745262"/>
      </bottom>
      <diagonal/>
    </border>
    <border>
      <left style="medium">
        <color theme="0" tint="-0.499984740745262"/>
      </left>
      <right/>
      <top style="medium">
        <color theme="0" tint="-0.499984740745262"/>
      </top>
      <bottom style="thin">
        <color theme="0" tint="-0.499984740745262"/>
      </bottom>
      <diagonal/>
    </border>
    <border>
      <left/>
      <right/>
      <top style="medium">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style="medium">
        <color theme="0" tint="-0.499984740745262"/>
      </right>
      <top style="thin">
        <color theme="0" tint="-0.499984740745262"/>
      </top>
      <bottom/>
      <diagonal/>
    </border>
    <border>
      <left style="medium">
        <color theme="0" tint="-0.499984740745262"/>
      </left>
      <right style="thin">
        <color theme="0" tint="-0.14993743705557422"/>
      </right>
      <top style="thin">
        <color theme="0" tint="-0.499984740745262"/>
      </top>
      <bottom style="thin">
        <color theme="0" tint="-0.499984740745262"/>
      </bottom>
      <diagonal/>
    </border>
    <border>
      <left style="thin">
        <color theme="0" tint="-0.14993743705557422"/>
      </left>
      <right style="thin">
        <color theme="0" tint="-0.14993743705557422"/>
      </right>
      <top style="thin">
        <color theme="0" tint="-0.499984740745262"/>
      </top>
      <bottom style="thin">
        <color theme="0" tint="-0.499984740745262"/>
      </bottom>
      <diagonal/>
    </border>
    <border>
      <left style="thin">
        <color theme="0" tint="-0.14993743705557422"/>
      </left>
      <right/>
      <top style="thin">
        <color theme="0" tint="-0.499984740745262"/>
      </top>
      <bottom style="thin">
        <color theme="0" tint="-0.499984740745262"/>
      </bottom>
      <diagonal/>
    </border>
    <border>
      <left/>
      <right style="thin">
        <color theme="0" tint="-0.14993743705557422"/>
      </right>
      <top style="thin">
        <color theme="0" tint="-0.499984740745262"/>
      </top>
      <bottom style="thin">
        <color theme="0" tint="-0.499984740745262"/>
      </bottom>
      <diagonal/>
    </border>
    <border>
      <left style="thin">
        <color theme="0" tint="-0.14993743705557422"/>
      </left>
      <right style="medium">
        <color theme="0" tint="-0.499984740745262"/>
      </right>
      <top style="thin">
        <color theme="0" tint="-0.499984740745262"/>
      </top>
      <bottom style="thin">
        <color theme="0" tint="-0.499984740745262"/>
      </bottom>
      <diagonal/>
    </border>
    <border>
      <left/>
      <right style="medium">
        <color theme="0" tint="-0.499984740745262"/>
      </right>
      <top/>
      <bottom/>
      <diagonal/>
    </border>
    <border>
      <left style="thin">
        <color theme="0" tint="-0.14993743705557422"/>
      </left>
      <right style="medium">
        <color theme="0" tint="-0.499984740745262"/>
      </right>
      <top style="thin">
        <color theme="0" tint="-0.499984740745262"/>
      </top>
      <bottom/>
      <diagonal/>
    </border>
    <border>
      <left style="medium">
        <color theme="0" tint="-0.499984740745262"/>
      </left>
      <right style="thin">
        <color theme="0" tint="-0.14993743705557422"/>
      </right>
      <top/>
      <bottom style="thin">
        <color theme="0" tint="-0.499984740745262"/>
      </bottom>
      <diagonal/>
    </border>
    <border>
      <left style="thin">
        <color theme="0" tint="-0.14993743705557422"/>
      </left>
      <right style="thin">
        <color theme="0" tint="-0.14993743705557422"/>
      </right>
      <top/>
      <bottom style="thin">
        <color theme="0" tint="-0.499984740745262"/>
      </bottom>
      <diagonal/>
    </border>
    <border>
      <left style="thin">
        <color theme="0" tint="-0.14993743705557422"/>
      </left>
      <right style="medium">
        <color theme="0" tint="-0.499984740745262"/>
      </right>
      <top/>
      <bottom/>
      <diagonal/>
    </border>
    <border>
      <left style="thin">
        <color theme="0" tint="-0.499984740745262"/>
      </left>
      <right/>
      <top/>
      <bottom style="thin">
        <color theme="0" tint="-0.499984740745262"/>
      </bottom>
      <diagonal/>
    </border>
    <border>
      <left/>
      <right style="medium">
        <color theme="0" tint="-0.499984740745262"/>
      </right>
      <top/>
      <bottom style="thin">
        <color theme="0" tint="-0.499984740745262"/>
      </bottom>
      <diagonal/>
    </border>
    <border>
      <left style="thin">
        <color theme="0" tint="-0.14993743705557422"/>
      </left>
      <right style="medium">
        <color theme="0" tint="-0.499984740745262"/>
      </right>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thin">
        <color theme="0" tint="-0.499984740745262"/>
      </bottom>
      <diagonal/>
    </border>
    <border>
      <left style="medium">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medium">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medium">
        <color auto="1"/>
      </bottom>
      <diagonal/>
    </border>
    <border>
      <left style="thin">
        <color theme="0" tint="-0.499984740745262"/>
      </left>
      <right style="medium">
        <color theme="0" tint="-0.499984740745262"/>
      </right>
      <top style="thin">
        <color theme="0" tint="-0.499984740745262"/>
      </top>
      <bottom style="medium">
        <color auto="1"/>
      </bottom>
      <diagonal/>
    </border>
    <border>
      <left style="medium">
        <color theme="0" tint="-0.499984740745262"/>
      </left>
      <right/>
      <top style="thin">
        <color theme="0" tint="-0.499984740745262"/>
      </top>
      <bottom style="medium">
        <color auto="1"/>
      </bottom>
      <diagonal/>
    </border>
    <border>
      <left/>
      <right/>
      <top style="thin">
        <color theme="0" tint="-0.499984740745262"/>
      </top>
      <bottom style="medium">
        <color auto="1"/>
      </bottom>
      <diagonal/>
    </border>
    <border>
      <left/>
      <right style="medium">
        <color theme="0" tint="-0.499984740745262"/>
      </right>
      <top style="thin">
        <color theme="0" tint="-0.499984740745262"/>
      </top>
      <bottom style="medium">
        <color auto="1"/>
      </bottom>
      <diagonal/>
    </border>
    <border>
      <left style="thin">
        <color theme="0" tint="-0.499984740745262"/>
      </left>
      <right style="thin">
        <color theme="0" tint="-0.499984740745262"/>
      </right>
      <top style="medium">
        <color auto="1"/>
      </top>
      <bottom style="thin">
        <color theme="0" tint="-0.499984740745262"/>
      </bottom>
      <diagonal/>
    </border>
    <border>
      <left style="thin">
        <color theme="0" tint="-0.499984740745262"/>
      </left>
      <right style="medium">
        <color theme="0" tint="-0.499984740745262"/>
      </right>
      <top style="medium">
        <color auto="1"/>
      </top>
      <bottom style="thin">
        <color theme="0" tint="-0.499984740745262"/>
      </bottom>
      <diagonal/>
    </border>
    <border>
      <left style="medium">
        <color theme="0" tint="-0.499984740745262"/>
      </left>
      <right/>
      <top style="medium">
        <color auto="1"/>
      </top>
      <bottom style="thin">
        <color theme="0" tint="-0.499984740745262"/>
      </bottom>
      <diagonal/>
    </border>
    <border>
      <left/>
      <right/>
      <top style="medium">
        <color auto="1"/>
      </top>
      <bottom style="thin">
        <color theme="0" tint="-0.499984740745262"/>
      </bottom>
      <diagonal/>
    </border>
    <border>
      <left/>
      <right style="medium">
        <color theme="0" tint="-0.499984740745262"/>
      </right>
      <top style="medium">
        <color auto="1"/>
      </top>
      <bottom style="thin">
        <color theme="0" tint="-0.499984740745262"/>
      </bottom>
      <diagonal/>
    </border>
    <border>
      <left style="thin">
        <color theme="0" tint="-0.499984740745262"/>
      </left>
      <right/>
      <top style="medium">
        <color auto="1"/>
      </top>
      <bottom/>
      <diagonal/>
    </border>
    <border>
      <left style="thin">
        <color theme="0" tint="-0.499984740745262"/>
      </left>
      <right/>
      <top/>
      <bottom style="medium">
        <color auto="1"/>
      </bottom>
      <diagonal/>
    </border>
    <border>
      <left style="medium">
        <color theme="0" tint="-0.499984740745262"/>
      </left>
      <right/>
      <top/>
      <bottom style="medium">
        <color auto="1"/>
      </bottom>
      <diagonal/>
    </border>
    <border>
      <left/>
      <right style="medium">
        <color theme="0" tint="-0.499984740745262"/>
      </right>
      <top/>
      <bottom style="medium">
        <color auto="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right style="thin">
        <color auto="1"/>
      </right>
      <top style="thin">
        <color theme="1"/>
      </top>
      <bottom style="thin">
        <color theme="1"/>
      </bottom>
      <diagonal/>
    </border>
    <border>
      <left style="medium">
        <color indexed="64"/>
      </left>
      <right style="medium">
        <color indexed="64"/>
      </right>
      <top style="medium">
        <color indexed="64"/>
      </top>
      <bottom style="medium">
        <color indexed="64"/>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medium">
        <color indexed="64"/>
      </left>
      <right/>
      <top style="thin">
        <color auto="1"/>
      </top>
      <bottom style="thin">
        <color auto="1"/>
      </bottom>
      <diagonal/>
    </border>
    <border>
      <left style="thin">
        <color theme="0" tint="-0.499984740745262"/>
      </left>
      <right style="medium">
        <color theme="0" tint="-0.499984740745262"/>
      </right>
      <top style="thin">
        <color theme="0" tint="-0.499984740745262"/>
      </top>
      <bottom/>
      <diagonal/>
    </border>
    <border>
      <left style="medium">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style="medium">
        <color theme="0" tint="-0.499984740745262"/>
      </right>
      <top style="thin">
        <color indexed="64"/>
      </top>
      <bottom style="thin">
        <color indexed="64"/>
      </bottom>
      <diagonal/>
    </border>
    <border>
      <left style="thin">
        <color theme="0" tint="-0.499984740745262"/>
      </left>
      <right style="medium">
        <color theme="0" tint="-0.499984740745262"/>
      </right>
      <top/>
      <bottom style="medium">
        <color auto="1"/>
      </bottom>
      <diagonal/>
    </border>
    <border>
      <left style="medium">
        <color theme="0" tint="-0.499984740745262"/>
      </left>
      <right/>
      <top style="thin">
        <color indexed="64"/>
      </top>
      <bottom style="thin">
        <color indexed="64"/>
      </bottom>
      <diagonal/>
    </border>
    <border>
      <left/>
      <right style="medium">
        <color theme="0" tint="-0.499984740745262"/>
      </right>
      <top style="thin">
        <color indexed="64"/>
      </top>
      <bottom style="thin">
        <color indexed="64"/>
      </bottom>
      <diagonal/>
    </border>
    <border>
      <left style="medium">
        <color auto="1"/>
      </left>
      <right style="thin">
        <color auto="1"/>
      </right>
      <top/>
      <bottom/>
      <diagonal/>
    </border>
    <border>
      <left/>
      <right style="thin">
        <color indexed="64"/>
      </right>
      <top style="medium">
        <color auto="1"/>
      </top>
      <bottom/>
      <diagonal/>
    </border>
  </borders>
  <cellStyleXfs count="27">
    <xf numFmtId="0" fontId="0" fillId="0" borderId="0">
      <alignment vertical="center"/>
    </xf>
    <xf numFmtId="0" fontId="79" fillId="0" borderId="0" applyBorder="0"/>
    <xf numFmtId="0" fontId="22" fillId="0" borderId="0"/>
    <xf numFmtId="9" fontId="71" fillId="0" borderId="0" applyFont="0" applyFill="0" applyBorder="0" applyAlignment="0" applyProtection="0">
      <alignment vertical="center"/>
    </xf>
    <xf numFmtId="9" fontId="72" fillId="0" borderId="0" applyFont="0" applyFill="0" applyBorder="0" applyAlignment="0" applyProtection="0">
      <alignment vertical="center"/>
    </xf>
    <xf numFmtId="9" fontId="79" fillId="0" borderId="0" applyFont="0" applyFill="0" applyBorder="0" applyAlignment="0" applyProtection="0">
      <alignment vertical="center"/>
    </xf>
    <xf numFmtId="0" fontId="22" fillId="0" borderId="0">
      <alignment vertical="center"/>
    </xf>
    <xf numFmtId="0" fontId="79" fillId="0" borderId="0">
      <alignment vertical="center"/>
    </xf>
    <xf numFmtId="0" fontId="22" fillId="0" borderId="0"/>
    <xf numFmtId="0" fontId="22" fillId="0" borderId="0"/>
    <xf numFmtId="0" fontId="22" fillId="0" borderId="0">
      <alignment vertical="center"/>
    </xf>
    <xf numFmtId="0" fontId="22" fillId="0" borderId="0">
      <alignment vertical="center"/>
    </xf>
    <xf numFmtId="0" fontId="73" fillId="0" borderId="0">
      <alignment vertical="center"/>
    </xf>
    <xf numFmtId="0" fontId="72" fillId="0" borderId="0">
      <alignment vertical="center"/>
    </xf>
    <xf numFmtId="0" fontId="79" fillId="0" borderId="0">
      <alignment vertical="center"/>
    </xf>
    <xf numFmtId="0" fontId="79" fillId="0" borderId="0">
      <alignment vertical="center"/>
    </xf>
    <xf numFmtId="0" fontId="71" fillId="0" borderId="0" applyNumberFormat="0" applyFill="0" applyBorder="0" applyProtection="0">
      <alignment vertical="top" wrapText="1"/>
    </xf>
    <xf numFmtId="0" fontId="22" fillId="0" borderId="0">
      <alignment vertical="center"/>
    </xf>
    <xf numFmtId="0" fontId="22" fillId="0" borderId="0"/>
    <xf numFmtId="0" fontId="22" fillId="0" borderId="0">
      <alignment vertical="center"/>
    </xf>
    <xf numFmtId="0" fontId="74" fillId="0" borderId="0">
      <alignment vertical="center"/>
    </xf>
    <xf numFmtId="0" fontId="22" fillId="0" borderId="0">
      <alignment vertical="center"/>
    </xf>
    <xf numFmtId="0" fontId="22" fillId="0" borderId="0"/>
    <xf numFmtId="0" fontId="22" fillId="0" borderId="0">
      <alignment vertical="center"/>
    </xf>
    <xf numFmtId="0" fontId="79" fillId="0" borderId="0">
      <alignment vertical="center"/>
    </xf>
    <xf numFmtId="0" fontId="79" fillId="0" borderId="0" applyBorder="0">
      <alignment vertical="center"/>
    </xf>
    <xf numFmtId="0" fontId="22" fillId="0" borderId="0">
      <alignment vertical="center"/>
    </xf>
  </cellStyleXfs>
  <cellXfs count="503">
    <xf numFmtId="0" fontId="0" fillId="0" borderId="0" xfId="0">
      <alignment vertical="center"/>
    </xf>
    <xf numFmtId="0" fontId="1" fillId="0" borderId="0" xfId="24" applyFont="1" applyAlignment="1">
      <alignment horizontal="center" vertical="center"/>
    </xf>
    <xf numFmtId="0" fontId="2" fillId="0" borderId="0" xfId="24" applyFont="1" applyAlignment="1">
      <alignment horizontal="center" vertical="center"/>
    </xf>
    <xf numFmtId="0" fontId="3" fillId="0" borderId="0" xfId="24" applyFont="1" applyAlignment="1">
      <alignment horizontal="center" vertical="center"/>
    </xf>
    <xf numFmtId="0" fontId="4" fillId="0" borderId="0" xfId="24" applyFont="1" applyAlignment="1">
      <alignment horizontal="center" vertical="center"/>
    </xf>
    <xf numFmtId="49" fontId="5" fillId="2" borderId="5" xfId="0" applyNumberFormat="1" applyFont="1" applyFill="1" applyBorder="1" applyAlignment="1">
      <alignment horizontal="center" vertical="center"/>
    </xf>
    <xf numFmtId="49" fontId="5" fillId="3" borderId="5" xfId="0" applyNumberFormat="1" applyFont="1" applyFill="1" applyBorder="1" applyAlignment="1">
      <alignment horizontal="center" vertical="center" wrapText="1"/>
    </xf>
    <xf numFmtId="0" fontId="3" fillId="4" borderId="5" xfId="24" applyFont="1" applyFill="1" applyBorder="1" applyAlignment="1">
      <alignment horizontal="center" vertical="center"/>
    </xf>
    <xf numFmtId="0" fontId="0" fillId="0" borderId="5" xfId="0" applyBorder="1" applyAlignment="1">
      <alignment horizontal="center" vertical="center"/>
    </xf>
    <xf numFmtId="0" fontId="3" fillId="0" borderId="5" xfId="24" applyFont="1" applyBorder="1" applyAlignment="1">
      <alignment horizontal="center" vertical="center"/>
    </xf>
    <xf numFmtId="0" fontId="6" fillId="0" borderId="10" xfId="0" applyFont="1" applyBorder="1" applyAlignment="1">
      <alignment horizontal="center" vertical="center"/>
    </xf>
    <xf numFmtId="0" fontId="8" fillId="0" borderId="0" xfId="0" applyFont="1" applyAlignment="1">
      <alignment horizontal="center" vertical="center"/>
    </xf>
    <xf numFmtId="0" fontId="8" fillId="0" borderId="0" xfId="0" applyFont="1">
      <alignment vertical="center"/>
    </xf>
    <xf numFmtId="0" fontId="8" fillId="0" borderId="5" xfId="0" applyFont="1" applyBorder="1" applyAlignment="1">
      <alignment horizontal="center" vertical="center"/>
    </xf>
    <xf numFmtId="0" fontId="8" fillId="0" borderId="5" xfId="0" applyFont="1" applyBorder="1" applyAlignment="1">
      <alignment horizontal="center" vertical="center" wrapText="1"/>
    </xf>
    <xf numFmtId="0" fontId="8" fillId="0" borderId="5" xfId="0" applyFont="1" applyBorder="1">
      <alignment vertical="center"/>
    </xf>
    <xf numFmtId="0" fontId="13" fillId="0" borderId="0" xfId="0" applyFont="1" applyAlignment="1">
      <alignment horizontal="center" vertical="center"/>
    </xf>
    <xf numFmtId="0" fontId="0" fillId="0" borderId="5" xfId="0" applyBorder="1" applyAlignment="1">
      <alignment horizontal="center" vertical="center" wrapText="1"/>
    </xf>
    <xf numFmtId="0" fontId="8" fillId="0" borderId="5" xfId="0" applyFont="1" applyBorder="1" applyAlignment="1">
      <alignment vertical="center" wrapText="1"/>
    </xf>
    <xf numFmtId="0" fontId="22" fillId="0" borderId="0" xfId="10">
      <alignment vertical="center"/>
    </xf>
    <xf numFmtId="0" fontId="8" fillId="0" borderId="0" xfId="10" applyFont="1">
      <alignment vertical="center"/>
    </xf>
    <xf numFmtId="0" fontId="21" fillId="5" borderId="5" xfId="10" applyFont="1" applyFill="1" applyBorder="1" applyAlignment="1">
      <alignment horizontal="center" vertical="center" wrapText="1"/>
    </xf>
    <xf numFmtId="0" fontId="14" fillId="7" borderId="5" xfId="10" applyFont="1" applyFill="1" applyBorder="1" applyAlignment="1">
      <alignment horizontal="center" vertical="center" wrapText="1"/>
    </xf>
    <xf numFmtId="0" fontId="23" fillId="5" borderId="5" xfId="10" applyFont="1" applyFill="1" applyBorder="1" applyAlignment="1">
      <alignment vertical="center" wrapText="1"/>
    </xf>
    <xf numFmtId="0" fontId="24" fillId="5" borderId="5" xfId="10" applyFont="1" applyFill="1" applyBorder="1" applyAlignment="1">
      <alignment horizontal="center" vertical="center" wrapText="1"/>
    </xf>
    <xf numFmtId="0" fontId="14" fillId="7" borderId="5" xfId="10" applyFont="1" applyFill="1" applyBorder="1" applyAlignment="1">
      <alignment horizontal="left" vertical="center" wrapText="1"/>
    </xf>
    <xf numFmtId="0" fontId="9" fillId="0" borderId="23" xfId="10" applyFont="1" applyBorder="1" applyAlignment="1">
      <alignment horizontal="center" vertical="center"/>
    </xf>
    <xf numFmtId="0" fontId="13" fillId="0" borderId="5" xfId="10" applyFont="1" applyBorder="1" applyAlignment="1">
      <alignment horizontal="center" vertical="center" wrapText="1"/>
    </xf>
    <xf numFmtId="0" fontId="13" fillId="0" borderId="5" xfId="10" applyFont="1" applyBorder="1" applyAlignment="1">
      <alignment horizontal="center" vertical="center"/>
    </xf>
    <xf numFmtId="0" fontId="8" fillId="0" borderId="5" xfId="10" applyFont="1" applyBorder="1" applyAlignment="1">
      <alignment horizontal="center" vertical="center"/>
    </xf>
    <xf numFmtId="0" fontId="5" fillId="0" borderId="23" xfId="10" applyFont="1" applyBorder="1" applyAlignment="1">
      <alignment vertical="center" wrapText="1"/>
    </xf>
    <xf numFmtId="0" fontId="8" fillId="0" borderId="5" xfId="10" applyFont="1" applyBorder="1">
      <alignment vertical="center"/>
    </xf>
    <xf numFmtId="0" fontId="9" fillId="0" borderId="23" xfId="10" applyFont="1" applyBorder="1" applyAlignment="1">
      <alignment horizontal="center" vertical="center" wrapText="1"/>
    </xf>
    <xf numFmtId="0" fontId="13" fillId="0" borderId="5" xfId="10" applyFont="1" applyBorder="1" applyAlignment="1">
      <alignment vertical="center" wrapText="1"/>
    </xf>
    <xf numFmtId="0" fontId="22" fillId="0" borderId="5" xfId="10" applyBorder="1" applyAlignment="1">
      <alignment horizontal="center" vertical="center" wrapText="1"/>
    </xf>
    <xf numFmtId="0" fontId="13" fillId="0" borderId="5" xfId="10" applyFont="1" applyBorder="1" applyAlignment="1">
      <alignment horizontal="left" vertical="center" wrapText="1"/>
    </xf>
    <xf numFmtId="0" fontId="20" fillId="0" borderId="23" xfId="10" applyFont="1" applyBorder="1" applyAlignment="1">
      <alignment horizontal="center" vertical="center" wrapText="1"/>
    </xf>
    <xf numFmtId="0" fontId="9" fillId="0" borderId="25" xfId="10" applyFont="1" applyBorder="1" applyAlignment="1">
      <alignment horizontal="center" vertical="center"/>
    </xf>
    <xf numFmtId="0" fontId="27" fillId="0" borderId="0" xfId="6" applyFont="1">
      <alignment vertical="center"/>
    </xf>
    <xf numFmtId="0" fontId="8" fillId="0" borderId="0" xfId="6" applyFont="1">
      <alignment vertical="center"/>
    </xf>
    <xf numFmtId="0" fontId="34" fillId="5" borderId="5" xfId="0" applyFont="1" applyFill="1" applyBorder="1" applyAlignment="1">
      <alignment horizontal="center" vertical="center"/>
    </xf>
    <xf numFmtId="0" fontId="35" fillId="0" borderId="0" xfId="0" applyFont="1" applyAlignment="1">
      <alignment horizontal="center" vertical="center"/>
    </xf>
    <xf numFmtId="0" fontId="11" fillId="0" borderId="0" xfId="0" applyFont="1">
      <alignment vertical="center"/>
    </xf>
    <xf numFmtId="0" fontId="13" fillId="0" borderId="0" xfId="0" applyFont="1">
      <alignment vertical="center"/>
    </xf>
    <xf numFmtId="0" fontId="36" fillId="9" borderId="1" xfId="0" applyFont="1" applyFill="1" applyBorder="1" applyAlignment="1">
      <alignment horizontal="left" vertical="center" wrapText="1"/>
    </xf>
    <xf numFmtId="0" fontId="21" fillId="5" borderId="9" xfId="0" applyFont="1" applyFill="1" applyBorder="1" applyAlignment="1">
      <alignment horizontal="left" vertical="center" wrapText="1"/>
    </xf>
    <xf numFmtId="0" fontId="37" fillId="11" borderId="9" xfId="0" applyFont="1" applyFill="1" applyBorder="1" applyAlignment="1">
      <alignment horizontal="left" vertical="center" wrapText="1"/>
    </xf>
    <xf numFmtId="0" fontId="36" fillId="9" borderId="1" xfId="0" applyFont="1" applyFill="1" applyBorder="1" applyAlignment="1">
      <alignment horizontal="center" vertical="center" wrapText="1"/>
    </xf>
    <xf numFmtId="0" fontId="0" fillId="0" borderId="9" xfId="0" applyBorder="1" applyAlignment="1">
      <alignment horizontal="center" vertical="center" wrapText="1"/>
    </xf>
    <xf numFmtId="0" fontId="0" fillId="0" borderId="9" xfId="0" applyBorder="1" applyAlignment="1">
      <alignment horizontal="center" vertical="center"/>
    </xf>
    <xf numFmtId="0" fontId="7" fillId="0" borderId="0" xfId="0" applyFont="1">
      <alignment vertical="center"/>
    </xf>
    <xf numFmtId="0" fontId="41" fillId="0" borderId="0" xfId="24" applyFont="1">
      <alignment vertical="center"/>
    </xf>
    <xf numFmtId="0" fontId="31" fillId="5" borderId="5" xfId="0" applyFont="1" applyFill="1" applyBorder="1" applyAlignment="1">
      <alignment horizontal="center" vertical="center"/>
    </xf>
    <xf numFmtId="0" fontId="21" fillId="5" borderId="5" xfId="0" applyFont="1" applyFill="1" applyBorder="1" applyAlignment="1">
      <alignment horizontal="center" vertical="center"/>
    </xf>
    <xf numFmtId="0" fontId="8" fillId="0" borderId="0" xfId="15" applyFont="1">
      <alignment vertical="center"/>
    </xf>
    <xf numFmtId="0" fontId="8" fillId="0" borderId="0" xfId="24" applyFont="1">
      <alignment vertical="center"/>
    </xf>
    <xf numFmtId="0" fontId="42" fillId="0" borderId="37" xfId="24" applyFont="1" applyBorder="1">
      <alignment vertical="center"/>
    </xf>
    <xf numFmtId="0" fontId="41" fillId="0" borderId="37" xfId="24" applyFont="1" applyBorder="1">
      <alignment vertical="center"/>
    </xf>
    <xf numFmtId="0" fontId="43" fillId="0" borderId="0" xfId="0" applyFont="1">
      <alignment vertical="center"/>
    </xf>
    <xf numFmtId="0" fontId="44" fillId="5" borderId="5" xfId="0" applyFont="1" applyFill="1" applyBorder="1" applyAlignment="1">
      <alignment horizontal="center" vertical="center"/>
    </xf>
    <xf numFmtId="0" fontId="31" fillId="5" borderId="5" xfId="0" applyFont="1" applyFill="1" applyBorder="1" applyAlignment="1">
      <alignment horizontal="center" vertical="center" wrapText="1"/>
    </xf>
    <xf numFmtId="0" fontId="31" fillId="5" borderId="8" xfId="0" applyFont="1" applyFill="1" applyBorder="1" applyAlignment="1">
      <alignment horizontal="center" vertical="center" wrapText="1"/>
    </xf>
    <xf numFmtId="0" fontId="31" fillId="5" borderId="43" xfId="0" applyFont="1" applyFill="1" applyBorder="1" applyAlignment="1">
      <alignment horizontal="center" vertical="center" wrapText="1"/>
    </xf>
    <xf numFmtId="0" fontId="40" fillId="3" borderId="5" xfId="0" applyFont="1" applyFill="1" applyBorder="1" applyAlignment="1">
      <alignment horizontal="center" vertical="center"/>
    </xf>
    <xf numFmtId="0" fontId="27" fillId="0" borderId="5" xfId="0" applyFont="1" applyBorder="1" applyAlignment="1">
      <alignment horizontal="center" vertical="center"/>
    </xf>
    <xf numFmtId="0" fontId="27" fillId="12" borderId="5" xfId="0" applyFont="1" applyFill="1" applyBorder="1" applyAlignment="1">
      <alignment horizontal="center" vertical="center"/>
    </xf>
    <xf numFmtId="0" fontId="27" fillId="0" borderId="7" xfId="0" applyFont="1" applyBorder="1" applyAlignment="1">
      <alignment horizontal="center" vertical="center"/>
    </xf>
    <xf numFmtId="0" fontId="27" fillId="0" borderId="24" xfId="0" applyFont="1" applyBorder="1" applyAlignment="1">
      <alignment horizontal="center" vertical="center"/>
    </xf>
    <xf numFmtId="0" fontId="3" fillId="0" borderId="0" xfId="0" applyFont="1" applyAlignment="1">
      <alignment horizontal="center" vertical="center"/>
    </xf>
    <xf numFmtId="0" fontId="16" fillId="0" borderId="7" xfId="0" applyFont="1" applyBorder="1" applyAlignment="1">
      <alignment horizontal="center" vertical="center"/>
    </xf>
    <xf numFmtId="0" fontId="16" fillId="0" borderId="24" xfId="0" applyFont="1" applyBorder="1" applyAlignment="1">
      <alignment horizontal="center" vertical="center"/>
    </xf>
    <xf numFmtId="0" fontId="27" fillId="10" borderId="5" xfId="0" applyFont="1" applyFill="1" applyBorder="1" applyAlignment="1">
      <alignment horizontal="center" vertical="center"/>
    </xf>
    <xf numFmtId="0" fontId="8" fillId="0" borderId="24" xfId="24" applyFont="1" applyBorder="1">
      <alignment vertical="center"/>
    </xf>
    <xf numFmtId="0" fontId="27" fillId="10" borderId="24" xfId="0" applyFont="1" applyFill="1" applyBorder="1" applyAlignment="1">
      <alignment horizontal="center" vertical="center"/>
    </xf>
    <xf numFmtId="0" fontId="27" fillId="10" borderId="7" xfId="0" applyFont="1" applyFill="1" applyBorder="1" applyAlignment="1">
      <alignment horizontal="center" vertical="center"/>
    </xf>
    <xf numFmtId="0" fontId="16" fillId="0" borderId="40" xfId="0" applyFont="1" applyBorder="1" applyAlignment="1">
      <alignment horizontal="center" vertical="center"/>
    </xf>
    <xf numFmtId="0" fontId="16" fillId="0" borderId="27" xfId="0" applyFont="1" applyBorder="1" applyAlignment="1">
      <alignment horizontal="center" vertical="center"/>
    </xf>
    <xf numFmtId="0" fontId="21" fillId="5" borderId="5" xfId="24" applyFont="1" applyFill="1" applyBorder="1" applyAlignment="1">
      <alignment horizontal="center" vertical="center"/>
    </xf>
    <xf numFmtId="0" fontId="21" fillId="5" borderId="5" xfId="15" applyFont="1" applyFill="1" applyBorder="1" applyAlignment="1">
      <alignment horizontal="center" vertical="center"/>
    </xf>
    <xf numFmtId="0" fontId="21" fillId="5" borderId="5" xfId="24" applyFont="1" applyFill="1" applyBorder="1" applyAlignment="1">
      <alignment horizontal="center" vertical="center" wrapText="1"/>
    </xf>
    <xf numFmtId="9" fontId="8" fillId="0" borderId="5" xfId="24" applyNumberFormat="1" applyFont="1" applyBorder="1" applyAlignment="1">
      <alignment horizontal="center" vertical="center"/>
    </xf>
    <xf numFmtId="0" fontId="8" fillId="0" borderId="5" xfId="24" applyFont="1" applyBorder="1" applyAlignment="1">
      <alignment horizontal="center" vertical="center"/>
    </xf>
    <xf numFmtId="9" fontId="8" fillId="0" borderId="5" xfId="15" applyNumberFormat="1" applyFont="1" applyBorder="1" applyAlignment="1">
      <alignment horizontal="center" vertical="center" wrapText="1"/>
    </xf>
    <xf numFmtId="177" fontId="8" fillId="0" borderId="5" xfId="15" applyNumberFormat="1" applyFont="1" applyBorder="1" applyAlignment="1">
      <alignment horizontal="center" vertical="center" wrapText="1"/>
    </xf>
    <xf numFmtId="177" fontId="8" fillId="0" borderId="5" xfId="15" applyNumberFormat="1" applyFont="1" applyBorder="1" applyAlignment="1">
      <alignment horizontal="center" vertical="center"/>
    </xf>
    <xf numFmtId="178" fontId="8" fillId="0" borderId="5" xfId="15" applyNumberFormat="1" applyFont="1" applyBorder="1" applyAlignment="1">
      <alignment horizontal="center" vertical="center"/>
    </xf>
    <xf numFmtId="0" fontId="21" fillId="0" borderId="0" xfId="15" applyFont="1">
      <alignment vertical="center"/>
    </xf>
    <xf numFmtId="0" fontId="23" fillId="0" borderId="0" xfId="15" applyFont="1" applyAlignment="1">
      <alignment horizontal="center" vertical="center"/>
    </xf>
    <xf numFmtId="9" fontId="8" fillId="0" borderId="0" xfId="15" applyNumberFormat="1" applyFont="1" applyAlignment="1">
      <alignment horizontal="center" vertical="center"/>
    </xf>
    <xf numFmtId="0" fontId="8" fillId="0" borderId="0" xfId="24" applyFont="1" applyAlignment="1">
      <alignment vertical="top" wrapText="1"/>
    </xf>
    <xf numFmtId="178" fontId="8" fillId="0" borderId="0" xfId="15" applyNumberFormat="1" applyFont="1" applyAlignment="1">
      <alignment horizontal="center" vertical="center"/>
    </xf>
    <xf numFmtId="0" fontId="8" fillId="0" borderId="0" xfId="24" applyFont="1" applyAlignment="1">
      <alignment vertical="top"/>
    </xf>
    <xf numFmtId="0" fontId="15" fillId="0" borderId="0" xfId="24" applyFont="1">
      <alignment vertical="center"/>
    </xf>
    <xf numFmtId="0" fontId="45" fillId="10" borderId="0" xfId="0" applyFont="1" applyFill="1" applyAlignment="1">
      <alignment horizontal="centerContinuous" vertical="center"/>
    </xf>
    <xf numFmtId="0" fontId="46" fillId="10" borderId="0" xfId="0" applyFont="1" applyFill="1" applyAlignment="1">
      <alignment horizontal="centerContinuous" vertical="center"/>
    </xf>
    <xf numFmtId="0" fontId="3" fillId="10" borderId="0" xfId="0" applyFont="1" applyFill="1" applyAlignment="1">
      <alignment horizontal="center" vertical="center"/>
    </xf>
    <xf numFmtId="0" fontId="8" fillId="10" borderId="0" xfId="24" applyFont="1" applyFill="1">
      <alignment vertical="center"/>
    </xf>
    <xf numFmtId="0" fontId="3" fillId="0" borderId="21" xfId="26" applyFont="1" applyBorder="1" applyAlignment="1">
      <alignment horizontal="center" vertical="center" wrapText="1"/>
    </xf>
    <xf numFmtId="0" fontId="46" fillId="0" borderId="0" xfId="0" applyFont="1" applyAlignment="1">
      <alignment horizontal="centerContinuous" vertical="center"/>
    </xf>
    <xf numFmtId="0" fontId="3" fillId="0" borderId="26" xfId="26" applyFont="1" applyBorder="1" applyAlignment="1">
      <alignment horizontal="center" vertical="center" wrapText="1"/>
    </xf>
    <xf numFmtId="0" fontId="5" fillId="0" borderId="0" xfId="0" applyFont="1">
      <alignment vertical="center"/>
    </xf>
    <xf numFmtId="0" fontId="3" fillId="0" borderId="0" xfId="0" applyFont="1">
      <alignment vertical="center"/>
    </xf>
    <xf numFmtId="0" fontId="31" fillId="0" borderId="0" xfId="0" applyFont="1" applyAlignment="1">
      <alignment horizontal="center" vertical="center"/>
    </xf>
    <xf numFmtId="0" fontId="31" fillId="0" borderId="0" xfId="0" applyFont="1" applyAlignment="1">
      <alignment horizontal="center" vertical="center" wrapText="1"/>
    </xf>
    <xf numFmtId="0" fontId="44" fillId="0" borderId="0" xfId="0" applyFont="1" applyAlignment="1">
      <alignment horizontal="center" vertical="center"/>
    </xf>
    <xf numFmtId="0" fontId="3" fillId="0" borderId="5" xfId="0" applyFont="1" applyBorder="1" applyAlignment="1">
      <alignment horizontal="center" vertical="center"/>
    </xf>
    <xf numFmtId="0" fontId="48" fillId="0" borderId="5" xfId="0" applyFont="1" applyBorder="1" applyAlignment="1">
      <alignment horizontal="center" vertical="center"/>
    </xf>
    <xf numFmtId="0" fontId="3" fillId="12" borderId="5" xfId="0" applyFont="1" applyFill="1" applyBorder="1" applyAlignment="1">
      <alignment horizontal="center" vertical="center"/>
    </xf>
    <xf numFmtId="0" fontId="3" fillId="0" borderId="0" xfId="0" applyFont="1" applyAlignment="1">
      <alignment horizontal="center" vertical="center" wrapText="1"/>
    </xf>
    <xf numFmtId="0" fontId="48" fillId="0" borderId="0" xfId="0" applyFont="1" applyAlignment="1">
      <alignment horizontal="center" vertical="center"/>
    </xf>
    <xf numFmtId="0" fontId="49" fillId="0" borderId="5" xfId="0" applyFont="1" applyBorder="1" applyAlignment="1">
      <alignment horizontal="center" vertical="center"/>
    </xf>
    <xf numFmtId="0" fontId="49" fillId="0" borderId="0" xfId="0" applyFont="1" applyAlignment="1">
      <alignment horizontal="center" vertical="center"/>
    </xf>
    <xf numFmtId="0" fontId="3" fillId="10" borderId="5" xfId="0" applyFont="1" applyFill="1" applyBorder="1" applyAlignment="1">
      <alignment horizontal="center" vertical="center"/>
    </xf>
    <xf numFmtId="0" fontId="8" fillId="0" borderId="28" xfId="24" applyFont="1" applyBorder="1">
      <alignment vertical="center"/>
    </xf>
    <xf numFmtId="0" fontId="15" fillId="0" borderId="29" xfId="24" applyFont="1" applyBorder="1">
      <alignment vertical="center"/>
    </xf>
    <xf numFmtId="0" fontId="8" fillId="0" borderId="29" xfId="24" applyFont="1" applyBorder="1">
      <alignment vertical="center"/>
    </xf>
    <xf numFmtId="0" fontId="21" fillId="0" borderId="0" xfId="24" applyFont="1">
      <alignment vertical="center"/>
    </xf>
    <xf numFmtId="0" fontId="10" fillId="0" borderId="0" xfId="24" applyFont="1">
      <alignment vertical="center"/>
    </xf>
    <xf numFmtId="0" fontId="21" fillId="5" borderId="6" xfId="15" applyFont="1" applyFill="1" applyBorder="1" applyAlignment="1">
      <alignment horizontal="center" vertical="center"/>
    </xf>
    <xf numFmtId="0" fontId="21" fillId="5" borderId="7" xfId="15" applyFont="1" applyFill="1" applyBorder="1" applyAlignment="1">
      <alignment horizontal="center" vertical="center"/>
    </xf>
    <xf numFmtId="0" fontId="21" fillId="5" borderId="31" xfId="15" applyFont="1" applyFill="1" applyBorder="1" applyAlignment="1">
      <alignment horizontal="center" vertical="center"/>
    </xf>
    <xf numFmtId="0" fontId="19" fillId="11" borderId="5" xfId="24" applyFont="1" applyFill="1" applyBorder="1" applyAlignment="1">
      <alignment horizontal="center" vertical="center" wrapText="1"/>
    </xf>
    <xf numFmtId="0" fontId="51" fillId="5" borderId="5" xfId="15" applyFont="1" applyFill="1" applyBorder="1" applyAlignment="1">
      <alignment horizontal="center" vertical="center"/>
    </xf>
    <xf numFmtId="0" fontId="52" fillId="0" borderId="0" xfId="24" applyFont="1" applyAlignment="1">
      <alignment horizontal="center" vertical="center" wrapText="1"/>
    </xf>
    <xf numFmtId="0" fontId="8" fillId="0" borderId="0" xfId="24" applyFont="1" applyAlignment="1">
      <alignment horizontal="center" vertical="center"/>
    </xf>
    <xf numFmtId="0" fontId="9" fillId="0" borderId="0" xfId="24" applyFont="1" applyAlignment="1">
      <alignment vertical="center" wrapText="1"/>
    </xf>
    <xf numFmtId="0" fontId="53" fillId="0" borderId="0" xfId="0" applyFont="1" applyAlignment="1">
      <alignment horizontal="center" vertical="center" wrapText="1"/>
    </xf>
    <xf numFmtId="9" fontId="8" fillId="0" borderId="0" xfId="24" applyNumberFormat="1" applyFont="1" applyAlignment="1">
      <alignment vertical="top" wrapText="1"/>
    </xf>
    <xf numFmtId="0" fontId="56" fillId="0" borderId="0" xfId="24" applyFont="1" applyAlignment="1">
      <alignment vertical="center" wrapText="1"/>
    </xf>
    <xf numFmtId="0" fontId="55" fillId="0" borderId="0" xfId="24" applyFont="1" applyAlignment="1">
      <alignment horizontal="left" vertical="top" wrapText="1"/>
    </xf>
    <xf numFmtId="0" fontId="21" fillId="0" borderId="0" xfId="15" applyFont="1" applyAlignment="1">
      <alignment horizontal="center" vertical="center"/>
    </xf>
    <xf numFmtId="0" fontId="51" fillId="0" borderId="0" xfId="15" applyFont="1" applyAlignment="1">
      <alignment horizontal="center" vertical="center"/>
    </xf>
    <xf numFmtId="0" fontId="8" fillId="0" borderId="0" xfId="26" applyFont="1">
      <alignment vertical="center"/>
    </xf>
    <xf numFmtId="0" fontId="59" fillId="5" borderId="5" xfId="26" applyFont="1" applyFill="1" applyBorder="1" applyAlignment="1">
      <alignment horizontal="center" vertical="center"/>
    </xf>
    <xf numFmtId="0" fontId="59" fillId="5" borderId="24" xfId="26" applyFont="1" applyFill="1" applyBorder="1" applyAlignment="1">
      <alignment horizontal="center" vertical="center"/>
    </xf>
    <xf numFmtId="0" fontId="21" fillId="5" borderId="5" xfId="26" applyFont="1" applyFill="1" applyBorder="1" applyAlignment="1">
      <alignment horizontal="center" vertical="center"/>
    </xf>
    <xf numFmtId="0" fontId="5" fillId="0" borderId="23" xfId="26" applyFont="1" applyBorder="1" applyAlignment="1">
      <alignment horizontal="center" vertical="center"/>
    </xf>
    <xf numFmtId="0" fontId="8" fillId="0" borderId="5" xfId="26" applyFont="1" applyBorder="1" applyAlignment="1">
      <alignment horizontal="center" vertical="center"/>
    </xf>
    <xf numFmtId="0" fontId="8" fillId="8" borderId="24" xfId="26" applyFont="1" applyFill="1" applyBorder="1" applyAlignment="1">
      <alignment horizontal="center" vertical="center"/>
    </xf>
    <xf numFmtId="0" fontId="8" fillId="0" borderId="0" xfId="26" applyFont="1" applyAlignment="1">
      <alignment horizontal="center" vertical="center"/>
    </xf>
    <xf numFmtId="0" fontId="5" fillId="0" borderId="25" xfId="26" applyFont="1" applyBorder="1" applyAlignment="1">
      <alignment horizontal="center" vertical="center"/>
    </xf>
    <xf numFmtId="0" fontId="8" fillId="0" borderId="26" xfId="26" applyFont="1" applyBorder="1" applyAlignment="1">
      <alignment horizontal="center" vertical="center"/>
    </xf>
    <xf numFmtId="0" fontId="8" fillId="8" borderId="27" xfId="26" applyFont="1" applyFill="1" applyBorder="1" applyAlignment="1">
      <alignment horizontal="center" vertical="center"/>
    </xf>
    <xf numFmtId="0" fontId="8" fillId="3" borderId="0" xfId="24" applyFont="1" applyFill="1">
      <alignment vertical="center"/>
    </xf>
    <xf numFmtId="0" fontId="61" fillId="3" borderId="0" xfId="24" applyFont="1" applyFill="1" applyAlignment="1">
      <alignment horizontal="left" vertical="center"/>
    </xf>
    <xf numFmtId="0" fontId="15" fillId="0" borderId="29" xfId="24" applyFont="1" applyBorder="1" applyAlignment="1">
      <alignment vertical="center" wrapText="1"/>
    </xf>
    <xf numFmtId="0" fontId="51" fillId="0" borderId="0" xfId="24" applyFont="1" applyAlignment="1">
      <alignment horizontal="center" vertical="center" wrapText="1"/>
    </xf>
    <xf numFmtId="0" fontId="8" fillId="0" borderId="0" xfId="15" applyFont="1" applyAlignment="1">
      <alignment vertical="top" wrapText="1"/>
    </xf>
    <xf numFmtId="0" fontId="0" fillId="0" borderId="0" xfId="0" applyAlignment="1">
      <alignment horizontal="center" vertical="center"/>
    </xf>
    <xf numFmtId="0" fontId="9" fillId="0" borderId="5" xfId="0" applyFont="1" applyBorder="1" applyAlignment="1">
      <alignment horizontal="center" vertical="center"/>
    </xf>
    <xf numFmtId="0" fontId="64" fillId="0" borderId="0" xfId="16" applyFont="1" applyAlignment="1">
      <alignment vertical="center" wrapText="1"/>
    </xf>
    <xf numFmtId="0" fontId="64" fillId="0" borderId="0" xfId="16" applyFont="1">
      <alignment vertical="top" wrapText="1"/>
    </xf>
    <xf numFmtId="0" fontId="64" fillId="0" borderId="0" xfId="16" applyFont="1" applyAlignment="1">
      <alignment horizontal="center" vertical="top" wrapText="1"/>
    </xf>
    <xf numFmtId="0" fontId="8" fillId="0" borderId="0" xfId="0" applyFont="1" applyAlignment="1">
      <alignment vertical="center" wrapText="1"/>
    </xf>
    <xf numFmtId="0" fontId="54" fillId="14" borderId="57" xfId="16" applyFont="1" applyFill="1" applyBorder="1" applyAlignment="1">
      <alignment horizontal="center" vertical="center" wrapText="1"/>
    </xf>
    <xf numFmtId="0" fontId="54" fillId="14" borderId="58" xfId="16" applyFont="1" applyFill="1" applyBorder="1" applyAlignment="1">
      <alignment horizontal="center" vertical="center" wrapText="1"/>
    </xf>
    <xf numFmtId="0" fontId="54" fillId="14" borderId="61" xfId="16" applyFont="1" applyFill="1" applyBorder="1" applyAlignment="1">
      <alignment horizontal="center" vertical="center" wrapText="1"/>
    </xf>
    <xf numFmtId="0" fontId="54" fillId="15" borderId="57" xfId="16" applyFont="1" applyFill="1" applyBorder="1" applyAlignment="1">
      <alignment horizontal="center" vertical="center" wrapText="1"/>
    </xf>
    <xf numFmtId="0" fontId="55" fillId="15" borderId="58" xfId="16" applyFont="1" applyFill="1" applyBorder="1" applyAlignment="1">
      <alignment horizontal="center" vertical="center" wrapText="1"/>
    </xf>
    <xf numFmtId="0" fontId="54" fillId="15" borderId="64" xfId="16" applyFont="1" applyFill="1" applyBorder="1" applyAlignment="1">
      <alignment horizontal="center" vertical="center" wrapText="1"/>
    </xf>
    <xf numFmtId="0" fontId="66" fillId="15" borderId="65" xfId="16" applyFont="1" applyFill="1" applyBorder="1" applyAlignment="1">
      <alignment horizontal="center" vertical="center" wrapText="1"/>
    </xf>
    <xf numFmtId="0" fontId="55" fillId="15" borderId="65" xfId="16" applyFont="1" applyFill="1" applyBorder="1" applyAlignment="1">
      <alignment horizontal="center" vertical="center" wrapText="1"/>
    </xf>
    <xf numFmtId="0" fontId="67" fillId="15" borderId="65" xfId="16" applyFont="1" applyFill="1" applyBorder="1" applyAlignment="1">
      <alignment horizontal="center" vertical="center" wrapText="1"/>
    </xf>
    <xf numFmtId="0" fontId="5" fillId="3" borderId="72" xfId="16" applyFont="1" applyFill="1" applyBorder="1" applyAlignment="1">
      <alignment horizontal="center" vertical="center" wrapText="1"/>
    </xf>
    <xf numFmtId="0" fontId="5" fillId="3" borderId="77" xfId="16" applyFont="1" applyFill="1" applyBorder="1" applyAlignment="1">
      <alignment horizontal="center" vertical="center" wrapText="1"/>
    </xf>
    <xf numFmtId="0" fontId="5" fillId="10" borderId="82" xfId="16" applyFont="1" applyFill="1" applyBorder="1" applyAlignment="1">
      <alignment horizontal="center" vertical="center" wrapText="1"/>
    </xf>
    <xf numFmtId="0" fontId="5" fillId="10" borderId="72" xfId="16" applyFont="1" applyFill="1" applyBorder="1" applyAlignment="1">
      <alignment horizontal="center" vertical="center" wrapText="1"/>
    </xf>
    <xf numFmtId="0" fontId="5" fillId="10" borderId="77" xfId="16" applyFont="1" applyFill="1" applyBorder="1" applyAlignment="1">
      <alignment horizontal="center" vertical="center" wrapText="1"/>
    </xf>
    <xf numFmtId="0" fontId="5" fillId="3" borderId="82" xfId="16" applyFont="1" applyFill="1" applyBorder="1" applyAlignment="1">
      <alignment horizontal="center" vertical="center" wrapText="1"/>
    </xf>
    <xf numFmtId="0" fontId="9" fillId="4" borderId="0" xfId="16" applyFont="1" applyFill="1" applyBorder="1" applyAlignment="1">
      <alignment horizontal="center" vertical="center"/>
    </xf>
    <xf numFmtId="0" fontId="8" fillId="13" borderId="5" xfId="0" applyFont="1" applyFill="1" applyBorder="1" applyAlignment="1">
      <alignment horizontal="center" vertical="center" wrapText="1"/>
    </xf>
    <xf numFmtId="0" fontId="9" fillId="13" borderId="5" xfId="0" applyFont="1" applyFill="1" applyBorder="1" applyAlignment="1">
      <alignment horizontal="center" vertical="center" wrapText="1"/>
    </xf>
    <xf numFmtId="0" fontId="8" fillId="6" borderId="0" xfId="0" applyFont="1" applyFill="1" applyAlignment="1">
      <alignment vertical="center" wrapText="1"/>
    </xf>
    <xf numFmtId="0" fontId="8" fillId="0" borderId="0" xfId="0" applyFont="1" applyAlignment="1">
      <alignment horizontal="center" vertical="center" wrapText="1"/>
    </xf>
    <xf numFmtId="0" fontId="10" fillId="5" borderId="90" xfId="0" applyFont="1" applyFill="1" applyBorder="1" applyAlignment="1">
      <alignment horizontal="center" vertical="center" wrapText="1"/>
    </xf>
    <xf numFmtId="0" fontId="10" fillId="5" borderId="5" xfId="0" applyFont="1" applyFill="1" applyBorder="1" applyAlignment="1">
      <alignment horizontal="center" vertical="center" wrapText="1"/>
    </xf>
    <xf numFmtId="0" fontId="8" fillId="6" borderId="9" xfId="0" applyFont="1" applyFill="1" applyBorder="1" applyAlignment="1">
      <alignment horizontal="center" vertical="center" wrapText="1"/>
    </xf>
    <xf numFmtId="0" fontId="55" fillId="0" borderId="5" xfId="0" applyFont="1" applyBorder="1" applyAlignment="1">
      <alignment horizontal="center" vertical="center" wrapText="1"/>
    </xf>
    <xf numFmtId="0" fontId="55" fillId="0" borderId="5" xfId="0" applyFont="1" applyBorder="1" applyAlignment="1">
      <alignment horizontal="left" vertical="center" wrapText="1"/>
    </xf>
    <xf numFmtId="0" fontId="55" fillId="6" borderId="5" xfId="0" applyFont="1" applyFill="1" applyBorder="1" applyAlignment="1">
      <alignment horizontal="left" vertical="center" wrapText="1"/>
    </xf>
    <xf numFmtId="9" fontId="8" fillId="0" borderId="5" xfId="24" applyNumberFormat="1" applyFont="1" applyBorder="1" applyAlignment="1">
      <alignment horizontal="center" vertical="center" wrapText="1"/>
    </xf>
    <xf numFmtId="0" fontId="8" fillId="0" borderId="5" xfId="24" applyFont="1" applyBorder="1" applyAlignment="1">
      <alignment horizontal="center" vertical="center" wrapText="1"/>
    </xf>
    <xf numFmtId="0" fontId="21" fillId="5" borderId="24" xfId="24" applyFont="1" applyFill="1" applyBorder="1" applyAlignment="1">
      <alignment horizontal="center" vertical="center"/>
    </xf>
    <xf numFmtId="0" fontId="8" fillId="0" borderId="24" xfId="24" applyFont="1" applyBorder="1" applyAlignment="1">
      <alignment horizontal="center" vertical="center"/>
    </xf>
    <xf numFmtId="0" fontId="8" fillId="0" borderId="30" xfId="24" applyFont="1" applyBorder="1">
      <alignment vertical="center"/>
    </xf>
    <xf numFmtId="9" fontId="8" fillId="0" borderId="0" xfId="15" applyNumberFormat="1" applyFont="1" applyAlignment="1">
      <alignment horizontal="center" vertical="center" wrapText="1"/>
    </xf>
    <xf numFmtId="0" fontId="15" fillId="0" borderId="0" xfId="24" applyFont="1" applyAlignment="1">
      <alignment vertical="center" wrapText="1"/>
    </xf>
    <xf numFmtId="0" fontId="15" fillId="0" borderId="0" xfId="24" applyFont="1" applyAlignment="1">
      <alignment horizontal="left" vertical="center" wrapText="1"/>
    </xf>
    <xf numFmtId="0" fontId="21" fillId="11" borderId="23" xfId="24" applyFont="1" applyFill="1" applyBorder="1" applyAlignment="1">
      <alignment horizontal="center" vertical="center"/>
    </xf>
    <xf numFmtId="177" fontId="8" fillId="0" borderId="0" xfId="15" applyNumberFormat="1" applyFont="1" applyAlignment="1">
      <alignment horizontal="center" vertical="center"/>
    </xf>
    <xf numFmtId="0" fontId="87" fillId="0" borderId="94" xfId="0" applyFont="1" applyBorder="1" applyAlignment="1">
      <alignment vertical="top" wrapText="1"/>
    </xf>
    <xf numFmtId="0" fontId="21" fillId="0" borderId="0" xfId="24" applyFont="1" applyAlignment="1">
      <alignment horizontal="center" vertical="center"/>
    </xf>
    <xf numFmtId="0" fontId="55" fillId="0" borderId="0" xfId="24" applyFont="1" applyAlignment="1">
      <alignment vertical="top" wrapText="1"/>
    </xf>
    <xf numFmtId="0" fontId="50" fillId="3" borderId="0" xfId="24" applyFont="1" applyFill="1" applyAlignment="1">
      <alignment vertical="center" wrapText="1"/>
    </xf>
    <xf numFmtId="0" fontId="12" fillId="11" borderId="28" xfId="24" applyFont="1" applyFill="1" applyBorder="1">
      <alignment vertical="center"/>
    </xf>
    <xf numFmtId="0" fontId="41" fillId="3" borderId="37" xfId="24" applyFont="1" applyFill="1" applyBorder="1">
      <alignment vertical="center"/>
    </xf>
    <xf numFmtId="0" fontId="12" fillId="11" borderId="29" xfId="24" applyFont="1" applyFill="1" applyBorder="1">
      <alignment vertical="center"/>
    </xf>
    <xf numFmtId="0" fontId="8" fillId="0" borderId="0" xfId="24" applyFont="1" applyAlignment="1">
      <alignment horizontal="left" vertical="center"/>
    </xf>
    <xf numFmtId="0" fontId="18" fillId="0" borderId="5" xfId="0" applyFont="1" applyBorder="1" applyAlignment="1">
      <alignment horizontal="center" vertical="center"/>
    </xf>
    <xf numFmtId="0" fontId="18" fillId="0" borderId="0" xfId="0" applyFont="1">
      <alignment vertical="center"/>
    </xf>
    <xf numFmtId="0" fontId="18" fillId="0" borderId="6" xfId="0" applyFont="1" applyBorder="1" applyAlignment="1">
      <alignment horizontal="center" vertical="center"/>
    </xf>
    <xf numFmtId="0" fontId="7" fillId="0" borderId="5" xfId="0" applyFont="1" applyBorder="1">
      <alignment vertical="center"/>
    </xf>
    <xf numFmtId="0" fontId="7" fillId="16" borderId="0" xfId="0" applyFont="1" applyFill="1">
      <alignment vertical="center"/>
    </xf>
    <xf numFmtId="0" fontId="91" fillId="0" borderId="0" xfId="0" applyFont="1" applyAlignment="1">
      <alignment horizontal="left" vertical="center"/>
    </xf>
    <xf numFmtId="0" fontId="91" fillId="0" borderId="0" xfId="0" applyFont="1">
      <alignment vertical="center"/>
    </xf>
    <xf numFmtId="0" fontId="91" fillId="18" borderId="1" xfId="0" applyFont="1" applyFill="1" applyBorder="1" applyAlignment="1">
      <alignment horizontal="center" vertical="top"/>
    </xf>
    <xf numFmtId="0" fontId="91" fillId="0" borderId="1" xfId="0" applyFont="1" applyBorder="1" applyAlignment="1">
      <alignment horizontal="center" vertical="top"/>
    </xf>
    <xf numFmtId="3" fontId="91" fillId="0" borderId="1" xfId="0" applyNumberFormat="1" applyFont="1" applyBorder="1" applyAlignment="1">
      <alignment horizontal="center" vertical="top"/>
    </xf>
    <xf numFmtId="0" fontId="92" fillId="0" borderId="5" xfId="0" applyFont="1" applyBorder="1" applyAlignment="1">
      <alignment horizontal="center" vertical="center" wrapText="1"/>
    </xf>
    <xf numFmtId="0" fontId="91" fillId="0" borderId="5" xfId="0" applyFont="1" applyBorder="1" applyAlignment="1">
      <alignment horizontal="center" vertical="center" wrapText="1"/>
    </xf>
    <xf numFmtId="0" fontId="93" fillId="16" borderId="5" xfId="16" applyFont="1" applyFill="1" applyBorder="1" applyAlignment="1">
      <alignment horizontal="center" vertical="center" wrapText="1"/>
    </xf>
    <xf numFmtId="0" fontId="94" fillId="19" borderId="5" xfId="0" applyFont="1" applyFill="1" applyBorder="1" applyAlignment="1">
      <alignment horizontal="center" vertical="center" wrapText="1"/>
    </xf>
    <xf numFmtId="0" fontId="9" fillId="20" borderId="5" xfId="0" applyFont="1" applyFill="1" applyBorder="1" applyAlignment="1">
      <alignment horizontal="center" vertical="center"/>
    </xf>
    <xf numFmtId="0" fontId="5" fillId="10" borderId="99" xfId="16" applyFont="1" applyFill="1" applyBorder="1" applyAlignment="1">
      <alignment horizontal="center" vertical="center" wrapText="1"/>
    </xf>
    <xf numFmtId="0" fontId="5" fillId="10" borderId="103" xfId="16" applyFont="1" applyFill="1" applyBorder="1" applyAlignment="1">
      <alignment horizontal="center" vertical="center" wrapText="1"/>
    </xf>
    <xf numFmtId="0" fontId="5" fillId="10" borderId="102" xfId="16" applyFont="1" applyFill="1" applyBorder="1" applyAlignment="1">
      <alignment horizontal="center" vertical="center" wrapText="1"/>
    </xf>
    <xf numFmtId="0" fontId="81" fillId="0" borderId="46" xfId="24" applyFont="1" applyBorder="1" applyAlignment="1">
      <alignment vertical="center" wrapText="1"/>
    </xf>
    <xf numFmtId="0" fontId="81" fillId="0" borderId="11" xfId="24" applyFont="1" applyBorder="1" applyAlignment="1">
      <alignment vertical="center" wrapText="1"/>
    </xf>
    <xf numFmtId="0" fontId="12" fillId="11" borderId="29" xfId="24" applyFont="1" applyFill="1" applyBorder="1" applyAlignment="1">
      <alignment vertical="center" wrapText="1"/>
    </xf>
    <xf numFmtId="0" fontId="90" fillId="0" borderId="0" xfId="24" applyFont="1">
      <alignment vertical="center"/>
    </xf>
    <xf numFmtId="0" fontId="95" fillId="21" borderId="5" xfId="0" applyFont="1" applyFill="1" applyBorder="1" applyAlignment="1">
      <alignment horizontal="center" vertical="center"/>
    </xf>
    <xf numFmtId="0" fontId="0" fillId="0" borderId="5" xfId="0" applyBorder="1" applyAlignment="1">
      <alignment vertical="center" wrapText="1"/>
    </xf>
    <xf numFmtId="0" fontId="70" fillId="4" borderId="35" xfId="16" applyFont="1" applyFill="1" applyBorder="1" applyAlignment="1">
      <alignment horizontal="center" vertical="center" wrapText="1"/>
    </xf>
    <xf numFmtId="0" fontId="70" fillId="4" borderId="45" xfId="16" applyFont="1" applyFill="1" applyBorder="1" applyAlignment="1">
      <alignment horizontal="center" vertical="center" wrapText="1"/>
    </xf>
    <xf numFmtId="0" fontId="8" fillId="17" borderId="34" xfId="0" applyFont="1" applyFill="1" applyBorder="1" applyAlignment="1">
      <alignment horizontal="center" vertical="center" wrapText="1"/>
    </xf>
    <xf numFmtId="0" fontId="7" fillId="0" borderId="5" xfId="16" applyFont="1" applyFill="1" applyBorder="1" applyAlignment="1">
      <alignment horizontal="left" vertical="center" wrapText="1"/>
    </xf>
    <xf numFmtId="0" fontId="7" fillId="0" borderId="5" xfId="16" applyFont="1" applyFill="1" applyBorder="1" applyAlignment="1">
      <alignment horizontal="center" vertical="center" wrapText="1"/>
    </xf>
    <xf numFmtId="0" fontId="5" fillId="10" borderId="81" xfId="16" applyFont="1" applyFill="1" applyBorder="1" applyAlignment="1">
      <alignment horizontal="center" vertical="center" wrapText="1"/>
    </xf>
    <xf numFmtId="0" fontId="5" fillId="10" borderId="71" xfId="16" applyFont="1" applyFill="1" applyBorder="1" applyAlignment="1">
      <alignment horizontal="center" vertical="center" wrapText="1"/>
    </xf>
    <xf numFmtId="0" fontId="5" fillId="10" borderId="76" xfId="16" applyFont="1" applyFill="1" applyBorder="1" applyAlignment="1">
      <alignment horizontal="center" vertical="center" wrapText="1"/>
    </xf>
    <xf numFmtId="0" fontId="5" fillId="3" borderId="81" xfId="16" applyFont="1" applyFill="1" applyBorder="1" applyAlignment="1">
      <alignment horizontal="center" vertical="center" wrapText="1"/>
    </xf>
    <xf numFmtId="0" fontId="5" fillId="3" borderId="71" xfId="16" applyFont="1" applyFill="1" applyBorder="1" applyAlignment="1">
      <alignment horizontal="center" vertical="center" wrapText="1"/>
    </xf>
    <xf numFmtId="0" fontId="5" fillId="3" borderId="76" xfId="16" applyFont="1" applyFill="1" applyBorder="1" applyAlignment="1">
      <alignment horizontal="center" vertical="center" wrapText="1"/>
    </xf>
    <xf numFmtId="0" fontId="5" fillId="10" borderId="86" xfId="16" applyFont="1" applyFill="1" applyBorder="1" applyAlignment="1">
      <alignment horizontal="center" vertical="center" wrapText="1"/>
    </xf>
    <xf numFmtId="0" fontId="5" fillId="10" borderId="54" xfId="16" applyFont="1" applyFill="1" applyBorder="1" applyAlignment="1">
      <alignment horizontal="center" vertical="center" wrapText="1"/>
    </xf>
    <xf numFmtId="0" fontId="5" fillId="10" borderId="87" xfId="16" applyFont="1" applyFill="1" applyBorder="1" applyAlignment="1">
      <alignment horizontal="center" vertical="center" wrapText="1"/>
    </xf>
    <xf numFmtId="0" fontId="28" fillId="15" borderId="63" xfId="16" applyFont="1" applyFill="1" applyBorder="1" applyAlignment="1">
      <alignment horizontal="center" vertical="center" wrapText="1"/>
    </xf>
    <xf numFmtId="0" fontId="28" fillId="15" borderId="66" xfId="16" applyFont="1" applyFill="1" applyBorder="1" applyAlignment="1">
      <alignment horizontal="center" vertical="center" wrapText="1"/>
    </xf>
    <xf numFmtId="0" fontId="28" fillId="15" borderId="69" xfId="16" applyFont="1" applyFill="1" applyBorder="1" applyAlignment="1">
      <alignment horizontal="center" vertical="center" wrapText="1"/>
    </xf>
    <xf numFmtId="0" fontId="7" fillId="0" borderId="73" xfId="16" applyFont="1" applyFill="1" applyBorder="1" applyAlignment="1">
      <alignment horizontal="center" vertical="center" wrapText="1"/>
    </xf>
    <xf numFmtId="0" fontId="7" fillId="0" borderId="74" xfId="16" applyFont="1" applyFill="1" applyBorder="1" applyAlignment="1">
      <alignment horizontal="center" vertical="center"/>
    </xf>
    <xf numFmtId="0" fontId="7" fillId="0" borderId="75" xfId="16" applyFont="1" applyFill="1" applyBorder="1" applyAlignment="1">
      <alignment horizontal="center" vertical="center"/>
    </xf>
    <xf numFmtId="0" fontId="7" fillId="0" borderId="73" xfId="16" applyFont="1" applyFill="1" applyBorder="1" applyAlignment="1">
      <alignment horizontal="center" vertical="center"/>
    </xf>
    <xf numFmtId="0" fontId="18" fillId="0" borderId="104" xfId="16" applyFont="1" applyFill="1" applyBorder="1" applyAlignment="1">
      <alignment horizontal="left" vertical="center" wrapText="1"/>
    </xf>
    <xf numFmtId="0" fontId="18" fillId="0" borderId="31" xfId="16" applyFont="1" applyFill="1" applyBorder="1" applyAlignment="1">
      <alignment horizontal="left" vertical="center"/>
    </xf>
    <xf numFmtId="0" fontId="18" fillId="0" borderId="105" xfId="16" applyFont="1" applyFill="1" applyBorder="1" applyAlignment="1">
      <alignment horizontal="left" vertical="center"/>
    </xf>
    <xf numFmtId="0" fontId="7" fillId="0" borderId="74" xfId="16" applyFont="1" applyFill="1" applyBorder="1" applyAlignment="1">
      <alignment horizontal="center" vertical="center" wrapText="1"/>
    </xf>
    <xf numFmtId="0" fontId="7" fillId="0" borderId="75" xfId="16" applyFont="1" applyFill="1" applyBorder="1" applyAlignment="1">
      <alignment horizontal="center" vertical="center" wrapText="1"/>
    </xf>
    <xf numFmtId="0" fontId="7" fillId="0" borderId="88" xfId="16" applyFont="1" applyFill="1" applyBorder="1" applyAlignment="1">
      <alignment horizontal="center" vertical="center" wrapText="1"/>
    </xf>
    <xf numFmtId="0" fontId="7" fillId="0" borderId="37" xfId="16" applyFont="1" applyFill="1" applyBorder="1" applyAlignment="1">
      <alignment horizontal="center" vertical="center" wrapText="1"/>
    </xf>
    <xf numFmtId="0" fontId="7" fillId="0" borderId="89" xfId="16" applyFont="1" applyFill="1" applyBorder="1" applyAlignment="1">
      <alignment horizontal="center" vertical="center" wrapText="1"/>
    </xf>
    <xf numFmtId="0" fontId="27" fillId="0" borderId="5" xfId="16" applyFont="1" applyFill="1" applyBorder="1" applyAlignment="1">
      <alignment horizontal="left" vertical="center" wrapText="1"/>
    </xf>
    <xf numFmtId="0" fontId="18" fillId="0" borderId="88" xfId="16" applyFont="1" applyFill="1" applyBorder="1" applyAlignment="1">
      <alignment horizontal="left" vertical="center" wrapText="1"/>
    </xf>
    <xf numFmtId="0" fontId="18" fillId="0" borderId="37" xfId="16" applyFont="1" applyFill="1" applyBorder="1" applyAlignment="1">
      <alignment horizontal="left" vertical="center"/>
    </xf>
    <xf numFmtId="0" fontId="18" fillId="0" borderId="89" xfId="16" applyFont="1" applyFill="1" applyBorder="1" applyAlignment="1">
      <alignment horizontal="left" vertical="center"/>
    </xf>
    <xf numFmtId="0" fontId="18" fillId="0" borderId="83" xfId="16" applyFont="1" applyFill="1" applyBorder="1" applyAlignment="1">
      <alignment horizontal="center" vertical="center" wrapText="1"/>
    </xf>
    <xf numFmtId="0" fontId="18" fillId="0" borderId="84" xfId="16" applyFont="1" applyFill="1" applyBorder="1" applyAlignment="1">
      <alignment horizontal="center" vertical="center" wrapText="1"/>
    </xf>
    <xf numFmtId="0" fontId="18" fillId="0" borderId="85" xfId="16" applyFont="1" applyFill="1" applyBorder="1" applyAlignment="1">
      <alignment horizontal="center" vertical="center" wrapText="1"/>
    </xf>
    <xf numFmtId="0" fontId="7" fillId="0" borderId="83" xfId="16" applyFont="1" applyFill="1" applyBorder="1" applyAlignment="1">
      <alignment horizontal="center" vertical="center" wrapText="1"/>
    </xf>
    <xf numFmtId="0" fontId="7" fillId="0" borderId="84" xfId="16" applyFont="1" applyFill="1" applyBorder="1" applyAlignment="1">
      <alignment horizontal="center" vertical="center" wrapText="1"/>
    </xf>
    <xf numFmtId="0" fontId="7" fillId="0" borderId="85" xfId="16" applyFont="1" applyFill="1" applyBorder="1" applyAlignment="1">
      <alignment horizontal="center" vertical="center" wrapText="1"/>
    </xf>
    <xf numFmtId="0" fontId="7" fillId="0" borderId="100" xfId="16" applyFont="1" applyFill="1" applyBorder="1" applyAlignment="1">
      <alignment horizontal="center" vertical="center" wrapText="1"/>
    </xf>
    <xf numFmtId="0" fontId="7" fillId="0" borderId="101" xfId="16" applyFont="1" applyFill="1" applyBorder="1" applyAlignment="1">
      <alignment horizontal="center" vertical="center" wrapText="1"/>
    </xf>
    <xf numFmtId="0" fontId="7" fillId="0" borderId="56" xfId="16" applyFont="1" applyFill="1" applyBorder="1" applyAlignment="1">
      <alignment horizontal="center" vertical="center" wrapText="1"/>
    </xf>
    <xf numFmtId="0" fontId="18" fillId="0" borderId="78" xfId="16" applyFont="1" applyFill="1" applyBorder="1" applyAlignment="1">
      <alignment horizontal="left" vertical="center" wrapText="1"/>
    </xf>
    <xf numFmtId="0" fontId="18" fillId="0" borderId="79" xfId="16" applyFont="1" applyFill="1" applyBorder="1" applyAlignment="1">
      <alignment horizontal="left" vertical="center"/>
    </xf>
    <xf numFmtId="0" fontId="18" fillId="0" borderId="80" xfId="16" applyFont="1" applyFill="1" applyBorder="1" applyAlignment="1">
      <alignment horizontal="left" vertical="center"/>
    </xf>
    <xf numFmtId="0" fontId="7" fillId="0" borderId="84" xfId="16" applyFont="1" applyFill="1" applyBorder="1" applyAlignment="1">
      <alignment horizontal="center" vertical="center"/>
    </xf>
    <xf numFmtId="0" fontId="7" fillId="0" borderId="85" xfId="16" applyFont="1" applyFill="1" applyBorder="1" applyAlignment="1">
      <alignment horizontal="center" vertical="center"/>
    </xf>
    <xf numFmtId="0" fontId="18" fillId="0" borderId="84" xfId="16" applyFont="1" applyFill="1" applyBorder="1" applyAlignment="1">
      <alignment horizontal="center" vertical="center"/>
    </xf>
    <xf numFmtId="0" fontId="18" fillId="0" borderId="85" xfId="16" applyFont="1" applyFill="1" applyBorder="1" applyAlignment="1">
      <alignment horizontal="center" vertical="center"/>
    </xf>
    <xf numFmtId="0" fontId="7" fillId="0" borderId="73" xfId="16" applyFont="1" applyBorder="1" applyAlignment="1">
      <alignment horizontal="center" vertical="center"/>
    </xf>
    <xf numFmtId="0" fontId="7" fillId="0" borderId="74" xfId="16" applyFont="1" applyBorder="1" applyAlignment="1">
      <alignment horizontal="center" vertical="center"/>
    </xf>
    <xf numFmtId="0" fontId="7" fillId="0" borderId="75" xfId="16" applyFont="1" applyBorder="1" applyAlignment="1">
      <alignment horizontal="center" vertical="center"/>
    </xf>
    <xf numFmtId="0" fontId="29" fillId="15" borderId="59" xfId="16" applyFont="1" applyFill="1" applyBorder="1" applyAlignment="1">
      <alignment horizontal="center" vertical="center" wrapText="1"/>
    </xf>
    <xf numFmtId="0" fontId="29" fillId="15" borderId="60" xfId="16" applyFont="1" applyFill="1" applyBorder="1" applyAlignment="1">
      <alignment horizontal="center" vertical="center" wrapText="1"/>
    </xf>
    <xf numFmtId="0" fontId="69" fillId="15" borderId="59" xfId="16" applyFont="1" applyFill="1" applyBorder="1" applyAlignment="1">
      <alignment horizontal="center" vertical="center" wrapText="1"/>
    </xf>
    <xf numFmtId="0" fontId="69" fillId="15" borderId="60" xfId="16" applyFont="1" applyFill="1" applyBorder="1" applyAlignment="1">
      <alignment horizontal="center" vertical="center" wrapText="1"/>
    </xf>
    <xf numFmtId="0" fontId="65" fillId="0" borderId="0" xfId="0" applyFont="1" applyAlignment="1">
      <alignment horizontal="left" vertical="center" wrapText="1"/>
    </xf>
    <xf numFmtId="0" fontId="9" fillId="4" borderId="50" xfId="16" applyFont="1" applyFill="1" applyBorder="1" applyAlignment="1">
      <alignment horizontal="center" vertical="center"/>
    </xf>
    <xf numFmtId="0" fontId="9" fillId="4" borderId="51" xfId="16" applyFont="1" applyFill="1" applyBorder="1" applyAlignment="1">
      <alignment horizontal="center" vertical="center"/>
    </xf>
    <xf numFmtId="0" fontId="9" fillId="4" borderId="52" xfId="16" applyFont="1" applyFill="1" applyBorder="1" applyAlignment="1">
      <alignment horizontal="center" vertical="center"/>
    </xf>
    <xf numFmtId="0" fontId="9" fillId="4" borderId="53" xfId="16" applyFont="1" applyFill="1" applyBorder="1" applyAlignment="1">
      <alignment horizontal="center" vertical="center"/>
    </xf>
    <xf numFmtId="0" fontId="28" fillId="15" borderId="59" xfId="16" applyFont="1" applyFill="1" applyBorder="1" applyAlignment="1">
      <alignment horizontal="center" vertical="center" wrapText="1"/>
    </xf>
    <xf numFmtId="0" fontId="28" fillId="15" borderId="60" xfId="16" applyFont="1" applyFill="1" applyBorder="1" applyAlignment="1">
      <alignment horizontal="center" vertical="center" wrapText="1"/>
    </xf>
    <xf numFmtId="0" fontId="54" fillId="14" borderId="59" xfId="16" applyFont="1" applyFill="1" applyBorder="1" applyAlignment="1">
      <alignment horizontal="center" vertical="center" wrapText="1"/>
    </xf>
    <xf numFmtId="0" fontId="54" fillId="14" borderId="60" xfId="16" applyFont="1" applyFill="1" applyBorder="1" applyAlignment="1">
      <alignment horizontal="center" vertical="center" wrapText="1"/>
    </xf>
    <xf numFmtId="0" fontId="9" fillId="4" borderId="55" xfId="16" applyFont="1" applyFill="1" applyBorder="1" applyAlignment="1">
      <alignment horizontal="center" vertical="center"/>
    </xf>
    <xf numFmtId="0" fontId="9" fillId="4" borderId="56" xfId="16" applyFont="1" applyFill="1" applyBorder="1" applyAlignment="1">
      <alignment horizontal="center" vertical="center"/>
    </xf>
    <xf numFmtId="0" fontId="9" fillId="4" borderId="54" xfId="16" applyFont="1" applyFill="1" applyBorder="1" applyAlignment="1">
      <alignment horizontal="center" vertical="center"/>
    </xf>
    <xf numFmtId="0" fontId="9" fillId="4" borderId="62" xfId="16" applyFont="1" applyFill="1" applyBorder="1" applyAlignment="1">
      <alignment horizontal="center" vertical="center"/>
    </xf>
    <xf numFmtId="0" fontId="9" fillId="4" borderId="67" xfId="16" applyFont="1" applyFill="1" applyBorder="1" applyAlignment="1">
      <alignment horizontal="center" vertical="center"/>
    </xf>
    <xf numFmtId="0" fontId="9" fillId="4" borderId="68" xfId="16" applyFont="1" applyFill="1" applyBorder="1" applyAlignment="1">
      <alignment horizontal="center" vertical="center"/>
    </xf>
    <xf numFmtId="0" fontId="9" fillId="4" borderId="49" xfId="16" applyFont="1" applyFill="1" applyBorder="1" applyAlignment="1">
      <alignment horizontal="center" vertical="center" wrapText="1"/>
    </xf>
    <xf numFmtId="0" fontId="9" fillId="4" borderId="54" xfId="16" applyFont="1" applyFill="1" applyBorder="1" applyAlignment="1">
      <alignment horizontal="center" vertical="center" wrapText="1"/>
    </xf>
    <xf numFmtId="0" fontId="9" fillId="4" borderId="70" xfId="16" applyFont="1" applyFill="1" applyBorder="1" applyAlignment="1">
      <alignment horizontal="center" vertical="center"/>
    </xf>
    <xf numFmtId="0" fontId="63" fillId="0" borderId="5" xfId="0" applyFont="1" applyBorder="1" applyAlignment="1">
      <alignment horizontal="center" vertical="center"/>
    </xf>
    <xf numFmtId="0" fontId="81" fillId="8" borderId="44" xfId="0" applyFont="1" applyFill="1" applyBorder="1" applyAlignment="1">
      <alignment horizontal="center" vertical="center" wrapText="1"/>
    </xf>
    <xf numFmtId="0" fontId="8" fillId="6" borderId="9" xfId="0" applyFont="1" applyFill="1" applyBorder="1" applyAlignment="1">
      <alignment horizontal="center" vertical="center" wrapText="1"/>
    </xf>
    <xf numFmtId="0" fontId="55" fillId="6" borderId="6" xfId="0" applyFont="1" applyFill="1" applyBorder="1" applyAlignment="1">
      <alignment horizontal="left" vertical="center" wrapText="1"/>
    </xf>
    <xf numFmtId="0" fontId="55" fillId="6" borderId="31" xfId="0" applyFont="1" applyFill="1" applyBorder="1" applyAlignment="1">
      <alignment horizontal="left" vertical="center" wrapText="1"/>
    </xf>
    <xf numFmtId="0" fontId="55" fillId="6" borderId="7" xfId="0" applyFont="1" applyFill="1" applyBorder="1" applyAlignment="1">
      <alignment horizontal="left" vertical="center" wrapText="1"/>
    </xf>
    <xf numFmtId="0" fontId="55" fillId="6" borderId="5" xfId="0" applyFont="1" applyFill="1" applyBorder="1" applyAlignment="1">
      <alignment horizontal="center" vertical="center" wrapText="1"/>
    </xf>
    <xf numFmtId="0" fontId="55" fillId="0" borderId="6" xfId="0" applyFont="1" applyBorder="1" applyAlignment="1">
      <alignment horizontal="center" vertical="center" wrapText="1"/>
    </xf>
    <xf numFmtId="0" fontId="55" fillId="0" borderId="7" xfId="0" applyFont="1" applyBorder="1" applyAlignment="1">
      <alignment horizontal="center" vertical="center" wrapText="1"/>
    </xf>
    <xf numFmtId="0" fontId="8" fillId="6" borderId="91" xfId="0" applyFont="1" applyFill="1" applyBorder="1" applyAlignment="1">
      <alignment horizontal="center" vertical="center" wrapText="1"/>
    </xf>
    <xf numFmtId="0" fontId="8" fillId="6" borderId="93" xfId="0" applyFont="1" applyFill="1" applyBorder="1" applyAlignment="1">
      <alignment horizontal="center" vertical="center" wrapText="1"/>
    </xf>
    <xf numFmtId="0" fontId="55" fillId="6" borderId="5" xfId="0" applyFont="1" applyFill="1" applyBorder="1" applyAlignment="1">
      <alignment horizontal="left" vertical="center" wrapText="1"/>
    </xf>
    <xf numFmtId="0" fontId="8" fillId="6" borderId="92" xfId="0" applyFont="1" applyFill="1" applyBorder="1" applyAlignment="1">
      <alignment horizontal="center" vertical="center" wrapText="1"/>
    </xf>
    <xf numFmtId="0" fontId="10" fillId="5" borderId="9" xfId="0" applyFont="1" applyFill="1" applyBorder="1" applyAlignment="1">
      <alignment horizontal="center" vertical="center" wrapText="1"/>
    </xf>
    <xf numFmtId="0" fontId="10" fillId="5" borderId="6" xfId="0" applyFont="1" applyFill="1" applyBorder="1" applyAlignment="1">
      <alignment horizontal="center" vertical="center" wrapText="1"/>
    </xf>
    <xf numFmtId="0" fontId="10" fillId="5" borderId="7" xfId="0" applyFont="1" applyFill="1" applyBorder="1" applyAlignment="1">
      <alignment horizontal="center" vertical="center" wrapText="1"/>
    </xf>
    <xf numFmtId="0" fontId="10" fillId="5" borderId="44" xfId="0" applyFont="1" applyFill="1" applyBorder="1" applyAlignment="1">
      <alignment horizontal="center" vertical="center" wrapText="1"/>
    </xf>
    <xf numFmtId="0" fontId="10" fillId="5" borderId="0" xfId="0" applyFont="1" applyFill="1" applyAlignment="1">
      <alignment horizontal="center" vertical="center" wrapText="1"/>
    </xf>
    <xf numFmtId="0" fontId="55" fillId="0" borderId="5" xfId="0" applyFont="1" applyBorder="1" applyAlignment="1">
      <alignment horizontal="center" vertical="center" wrapText="1"/>
    </xf>
    <xf numFmtId="0" fontId="55" fillId="0" borderId="95" xfId="24" applyFont="1" applyBorder="1" applyAlignment="1">
      <alignment horizontal="left" vertical="top" wrapText="1"/>
    </xf>
    <xf numFmtId="0" fontId="55" fillId="0" borderId="96" xfId="24" applyFont="1" applyBorder="1" applyAlignment="1">
      <alignment horizontal="left" vertical="top" wrapText="1"/>
    </xf>
    <xf numFmtId="0" fontId="55" fillId="0" borderId="97" xfId="24" applyFont="1" applyBorder="1" applyAlignment="1">
      <alignment horizontal="left" vertical="top" wrapText="1"/>
    </xf>
    <xf numFmtId="0" fontId="8" fillId="0" borderId="32" xfId="24" applyFont="1" applyBorder="1" applyAlignment="1">
      <alignment horizontal="left" vertical="top" wrapText="1"/>
    </xf>
    <xf numFmtId="0" fontId="8" fillId="0" borderId="35" xfId="24" applyFont="1" applyBorder="1" applyAlignment="1">
      <alignment horizontal="left" vertical="top" wrapText="1"/>
    </xf>
    <xf numFmtId="0" fontId="8" fillId="0" borderId="44" xfId="24" applyFont="1" applyBorder="1" applyAlignment="1">
      <alignment horizontal="left" vertical="top" wrapText="1"/>
    </xf>
    <xf numFmtId="0" fontId="8" fillId="0" borderId="45" xfId="24" applyFont="1" applyBorder="1" applyAlignment="1">
      <alignment horizontal="left" vertical="top" wrapText="1"/>
    </xf>
    <xf numFmtId="0" fontId="8" fillId="0" borderId="33" xfId="24" applyFont="1" applyBorder="1" applyAlignment="1">
      <alignment horizontal="left" vertical="top" wrapText="1"/>
    </xf>
    <xf numFmtId="0" fontId="8" fillId="0" borderId="8" xfId="24" applyFont="1" applyBorder="1" applyAlignment="1">
      <alignment horizontal="left" vertical="top" wrapText="1"/>
    </xf>
    <xf numFmtId="0" fontId="8" fillId="0" borderId="6" xfId="24" applyFont="1" applyBorder="1" applyAlignment="1">
      <alignment horizontal="left" vertical="center" wrapText="1"/>
    </xf>
    <xf numFmtId="0" fontId="8" fillId="0" borderId="31" xfId="24" applyFont="1" applyBorder="1" applyAlignment="1">
      <alignment horizontal="left" vertical="center" wrapText="1"/>
    </xf>
    <xf numFmtId="0" fontId="8" fillId="0" borderId="7" xfId="24" applyFont="1" applyBorder="1" applyAlignment="1">
      <alignment horizontal="left" vertical="center" wrapText="1"/>
    </xf>
    <xf numFmtId="0" fontId="8" fillId="0" borderId="19" xfId="24" applyFont="1" applyBorder="1" applyAlignment="1">
      <alignment horizontal="center" vertical="center"/>
    </xf>
    <xf numFmtId="0" fontId="8" fillId="0" borderId="13" xfId="24" applyFont="1" applyBorder="1" applyAlignment="1">
      <alignment horizontal="center" vertical="center"/>
    </xf>
    <xf numFmtId="0" fontId="8" fillId="0" borderId="14" xfId="24" applyFont="1" applyBorder="1" applyAlignment="1">
      <alignment horizontal="center" vertical="center"/>
    </xf>
    <xf numFmtId="9" fontId="8" fillId="0" borderId="19" xfId="24" applyNumberFormat="1" applyFont="1" applyBorder="1" applyAlignment="1">
      <alignment horizontal="center" vertical="center" wrapText="1"/>
    </xf>
    <xf numFmtId="9" fontId="8" fillId="0" borderId="14" xfId="24" applyNumberFormat="1" applyFont="1" applyBorder="1" applyAlignment="1">
      <alignment horizontal="center" vertical="center" wrapText="1"/>
    </xf>
    <xf numFmtId="0" fontId="8" fillId="0" borderId="19" xfId="24" applyFont="1" applyBorder="1" applyAlignment="1">
      <alignment horizontal="center" vertical="center" wrapText="1"/>
    </xf>
    <xf numFmtId="0" fontId="8" fillId="0" borderId="14" xfId="24" applyFont="1" applyBorder="1" applyAlignment="1">
      <alignment horizontal="center" vertical="center" wrapText="1"/>
    </xf>
    <xf numFmtId="9" fontId="8" fillId="0" borderId="19" xfId="15" applyNumberFormat="1" applyFont="1" applyBorder="1" applyAlignment="1">
      <alignment horizontal="center" vertical="center" wrapText="1"/>
    </xf>
    <xf numFmtId="9" fontId="8" fillId="0" borderId="13" xfId="15" applyNumberFormat="1" applyFont="1" applyBorder="1" applyAlignment="1">
      <alignment horizontal="center" vertical="center" wrapText="1"/>
    </xf>
    <xf numFmtId="9" fontId="8" fillId="0" borderId="14" xfId="15" applyNumberFormat="1" applyFont="1" applyBorder="1" applyAlignment="1">
      <alignment horizontal="center" vertical="center" wrapText="1"/>
    </xf>
    <xf numFmtId="0" fontId="58" fillId="0" borderId="0" xfId="24" applyFont="1" applyAlignment="1">
      <alignment horizontal="left" vertical="center" wrapText="1"/>
    </xf>
    <xf numFmtId="0" fontId="58" fillId="0" borderId="0" xfId="24" applyFont="1" applyAlignment="1">
      <alignment horizontal="left" vertical="center"/>
    </xf>
    <xf numFmtId="0" fontId="60" fillId="5" borderId="5" xfId="26" applyFont="1" applyFill="1" applyBorder="1" applyAlignment="1">
      <alignment horizontal="center" vertical="center"/>
    </xf>
    <xf numFmtId="0" fontId="3" fillId="0" borderId="5" xfId="26" applyFont="1" applyBorder="1" applyAlignment="1">
      <alignment horizontal="center" vertical="center"/>
    </xf>
    <xf numFmtId="0" fontId="3" fillId="0" borderId="5" xfId="0" applyFont="1" applyBorder="1" applyAlignment="1">
      <alignment horizontal="left" vertical="top" wrapText="1"/>
    </xf>
    <xf numFmtId="177" fontId="8" fillId="0" borderId="19" xfId="15" applyNumberFormat="1" applyFont="1" applyBorder="1" applyAlignment="1">
      <alignment horizontal="center" vertical="center"/>
    </xf>
    <xf numFmtId="177" fontId="8" fillId="0" borderId="13" xfId="15" applyNumberFormat="1" applyFont="1" applyBorder="1" applyAlignment="1">
      <alignment horizontal="center" vertical="center"/>
    </xf>
    <xf numFmtId="177" fontId="8" fillId="0" borderId="14" xfId="15" applyNumberFormat="1" applyFont="1" applyBorder="1" applyAlignment="1">
      <alignment horizontal="center" vertical="center"/>
    </xf>
    <xf numFmtId="178" fontId="8" fillId="0" borderId="19" xfId="15" applyNumberFormat="1" applyFont="1" applyBorder="1" applyAlignment="1">
      <alignment horizontal="center" vertical="center"/>
    </xf>
    <xf numFmtId="178" fontId="8" fillId="0" borderId="13" xfId="15" applyNumberFormat="1" applyFont="1" applyBorder="1" applyAlignment="1">
      <alignment horizontal="center" vertical="center"/>
    </xf>
    <xf numFmtId="178" fontId="8" fillId="0" borderId="14" xfId="15" applyNumberFormat="1" applyFont="1" applyBorder="1" applyAlignment="1">
      <alignment horizontal="center" vertical="center"/>
    </xf>
    <xf numFmtId="0" fontId="8" fillId="0" borderId="38" xfId="24" applyFont="1" applyBorder="1" applyAlignment="1">
      <alignment horizontal="left" vertical="top" wrapText="1"/>
    </xf>
    <xf numFmtId="0" fontId="8" fillId="0" borderId="106" xfId="24" applyFont="1" applyBorder="1" applyAlignment="1">
      <alignment horizontal="left" vertical="top" wrapText="1"/>
    </xf>
    <xf numFmtId="0" fontId="8" fillId="0" borderId="39" xfId="24" applyFont="1" applyBorder="1" applyAlignment="1">
      <alignment horizontal="left" vertical="top" wrapText="1"/>
    </xf>
    <xf numFmtId="0" fontId="8" fillId="0" borderId="34" xfId="24" applyFont="1" applyBorder="1" applyAlignment="1">
      <alignment horizontal="left" vertical="top" wrapText="1"/>
    </xf>
    <xf numFmtId="0" fontId="8" fillId="0" borderId="0" xfId="24" applyFont="1" applyAlignment="1">
      <alignment horizontal="left" vertical="top" wrapText="1"/>
    </xf>
    <xf numFmtId="0" fontId="8" fillId="0" borderId="11" xfId="24" applyFont="1" applyBorder="1" applyAlignment="1">
      <alignment horizontal="left" vertical="top" wrapText="1"/>
    </xf>
    <xf numFmtId="0" fontId="8" fillId="0" borderId="32" xfId="15" applyFont="1" applyBorder="1" applyAlignment="1">
      <alignment horizontal="left" vertical="top" wrapText="1"/>
    </xf>
    <xf numFmtId="0" fontId="8" fillId="0" borderId="34" xfId="15" applyFont="1" applyBorder="1" applyAlignment="1">
      <alignment horizontal="left" vertical="top" wrapText="1"/>
    </xf>
    <xf numFmtId="0" fontId="8" fillId="0" borderId="35" xfId="15" applyFont="1" applyBorder="1" applyAlignment="1">
      <alignment horizontal="left" vertical="top" wrapText="1"/>
    </xf>
    <xf numFmtId="0" fontId="8" fillId="0" borderId="44" xfId="15" applyFont="1" applyBorder="1" applyAlignment="1">
      <alignment horizontal="left" vertical="top" wrapText="1"/>
    </xf>
    <xf numFmtId="0" fontId="8" fillId="0" borderId="0" xfId="15" applyFont="1" applyAlignment="1">
      <alignment horizontal="left" vertical="top" wrapText="1"/>
    </xf>
    <xf numFmtId="0" fontId="8" fillId="0" borderId="45" xfId="15" applyFont="1" applyBorder="1" applyAlignment="1">
      <alignment horizontal="left" vertical="top" wrapText="1"/>
    </xf>
    <xf numFmtId="0" fontId="8" fillId="0" borderId="33" xfId="15" applyFont="1" applyBorder="1" applyAlignment="1">
      <alignment horizontal="left" vertical="top" wrapText="1"/>
    </xf>
    <xf numFmtId="0" fontId="8" fillId="0" borderId="11" xfId="15" applyFont="1" applyBorder="1" applyAlignment="1">
      <alignment horizontal="left" vertical="top" wrapText="1"/>
    </xf>
    <xf numFmtId="0" fontId="8" fillId="0" borderId="8" xfId="15" applyFont="1" applyBorder="1" applyAlignment="1">
      <alignment horizontal="left" vertical="top" wrapText="1"/>
    </xf>
    <xf numFmtId="0" fontId="62" fillId="11" borderId="28" xfId="24" applyFont="1" applyFill="1" applyBorder="1" applyAlignment="1">
      <alignment horizontal="left" vertical="center" wrapText="1"/>
    </xf>
    <xf numFmtId="0" fontId="62" fillId="11" borderId="29" xfId="24" applyFont="1" applyFill="1" applyBorder="1" applyAlignment="1">
      <alignment horizontal="left" vertical="center" wrapText="1"/>
    </xf>
    <xf numFmtId="0" fontId="62" fillId="11" borderId="30" xfId="24" applyFont="1" applyFill="1" applyBorder="1" applyAlignment="1">
      <alignment horizontal="left" vertical="center" wrapText="1"/>
    </xf>
    <xf numFmtId="0" fontId="21" fillId="11" borderId="98" xfId="24" applyFont="1" applyFill="1" applyBorder="1" applyAlignment="1">
      <alignment horizontal="center" vertical="center"/>
    </xf>
    <xf numFmtId="0" fontId="21" fillId="11" borderId="31" xfId="24" applyFont="1" applyFill="1" applyBorder="1" applyAlignment="1">
      <alignment horizontal="center" vertical="center"/>
    </xf>
    <xf numFmtId="0" fontId="21" fillId="11" borderId="7" xfId="24" applyFont="1" applyFill="1" applyBorder="1" applyAlignment="1">
      <alignment horizontal="center" vertical="center"/>
    </xf>
    <xf numFmtId="0" fontId="21" fillId="5" borderId="6" xfId="15" applyFont="1" applyFill="1" applyBorder="1" applyAlignment="1">
      <alignment horizontal="center" vertical="center"/>
    </xf>
    <xf numFmtId="0" fontId="21" fillId="5" borderId="31" xfId="15" applyFont="1" applyFill="1" applyBorder="1" applyAlignment="1">
      <alignment horizontal="center" vertical="center"/>
    </xf>
    <xf numFmtId="0" fontId="21" fillId="5" borderId="7" xfId="15" applyFont="1" applyFill="1" applyBorder="1" applyAlignment="1">
      <alignment horizontal="center" vertical="center"/>
    </xf>
    <xf numFmtId="0" fontId="15" fillId="0" borderId="19" xfId="24" applyFont="1" applyBorder="1" applyAlignment="1">
      <alignment horizontal="left" vertical="top" wrapText="1"/>
    </xf>
    <xf numFmtId="0" fontId="15" fillId="0" borderId="13" xfId="24" applyFont="1" applyBorder="1" applyAlignment="1">
      <alignment horizontal="left" vertical="top" wrapText="1"/>
    </xf>
    <xf numFmtId="0" fontId="15" fillId="0" borderId="14" xfId="24" applyFont="1" applyBorder="1" applyAlignment="1">
      <alignment horizontal="left" vertical="top" wrapText="1"/>
    </xf>
    <xf numFmtId="0" fontId="21" fillId="5" borderId="19" xfId="24" applyFont="1" applyFill="1" applyBorder="1" applyAlignment="1">
      <alignment horizontal="center" vertical="center"/>
    </xf>
    <xf numFmtId="0" fontId="21" fillId="5" borderId="14" xfId="24" applyFont="1" applyFill="1" applyBorder="1" applyAlignment="1">
      <alignment horizontal="center" vertical="center"/>
    </xf>
    <xf numFmtId="0" fontId="21" fillId="5" borderId="32" xfId="24" applyFont="1" applyFill="1" applyBorder="1" applyAlignment="1">
      <alignment horizontal="center" vertical="center"/>
    </xf>
    <xf numFmtId="0" fontId="21" fillId="5" borderId="34" xfId="24" applyFont="1" applyFill="1" applyBorder="1" applyAlignment="1">
      <alignment horizontal="center" vertical="center"/>
    </xf>
    <xf numFmtId="0" fontId="21" fillId="5" borderId="35" xfId="24" applyFont="1" applyFill="1" applyBorder="1" applyAlignment="1">
      <alignment horizontal="center" vertical="center"/>
    </xf>
    <xf numFmtId="0" fontId="21" fillId="5" borderId="33" xfId="24" applyFont="1" applyFill="1" applyBorder="1" applyAlignment="1">
      <alignment horizontal="center" vertical="center"/>
    </xf>
    <xf numFmtId="0" fontId="21" fillId="5" borderId="11" xfId="24" applyFont="1" applyFill="1" applyBorder="1" applyAlignment="1">
      <alignment horizontal="center" vertical="center"/>
    </xf>
    <xf numFmtId="0" fontId="21" fillId="5" borderId="8" xfId="24" applyFont="1" applyFill="1" applyBorder="1" applyAlignment="1">
      <alignment horizontal="center" vertical="center"/>
    </xf>
    <xf numFmtId="0" fontId="21" fillId="5" borderId="32" xfId="24" applyFont="1" applyFill="1" applyBorder="1" applyAlignment="1">
      <alignment horizontal="center" vertical="center" wrapText="1"/>
    </xf>
    <xf numFmtId="0" fontId="21" fillId="5" borderId="35" xfId="24" applyFont="1" applyFill="1" applyBorder="1" applyAlignment="1">
      <alignment horizontal="center" vertical="center" wrapText="1"/>
    </xf>
    <xf numFmtId="0" fontId="21" fillId="5" borderId="33" xfId="24" applyFont="1" applyFill="1" applyBorder="1" applyAlignment="1">
      <alignment horizontal="center" vertical="center" wrapText="1"/>
    </xf>
    <xf numFmtId="0" fontId="21" fillId="5" borderId="8" xfId="24" applyFont="1" applyFill="1" applyBorder="1" applyAlignment="1">
      <alignment horizontal="center" vertical="center" wrapText="1"/>
    </xf>
    <xf numFmtId="0" fontId="21" fillId="11" borderId="6" xfId="24" applyFont="1" applyFill="1" applyBorder="1" applyAlignment="1">
      <alignment horizontal="center" vertical="center"/>
    </xf>
    <xf numFmtId="177" fontId="8" fillId="0" borderId="19" xfId="15" applyNumberFormat="1" applyFont="1" applyBorder="1" applyAlignment="1">
      <alignment horizontal="center" vertical="center" wrapText="1"/>
    </xf>
    <xf numFmtId="177" fontId="8" fillId="0" borderId="13" xfId="15" applyNumberFormat="1" applyFont="1" applyBorder="1" applyAlignment="1">
      <alignment horizontal="center" vertical="center" wrapText="1"/>
    </xf>
    <xf numFmtId="177" fontId="8" fillId="0" borderId="14" xfId="15" applyNumberFormat="1" applyFont="1" applyBorder="1" applyAlignment="1">
      <alignment horizontal="center" vertical="center" wrapText="1"/>
    </xf>
    <xf numFmtId="0" fontId="42" fillId="0" borderId="0" xfId="24" applyFont="1" applyAlignment="1">
      <alignment horizontal="left" vertical="center" wrapText="1"/>
    </xf>
    <xf numFmtId="0" fontId="41" fillId="0" borderId="0" xfId="24" applyFont="1" applyAlignment="1">
      <alignment horizontal="left" vertical="center"/>
    </xf>
    <xf numFmtId="0" fontId="8" fillId="0" borderId="21" xfId="26" applyFont="1" applyBorder="1" applyAlignment="1">
      <alignment horizontal="center" vertical="center" wrapText="1"/>
    </xf>
    <xf numFmtId="0" fontId="8" fillId="0" borderId="22" xfId="26" applyFont="1" applyBorder="1" applyAlignment="1">
      <alignment horizontal="center" vertical="center" wrapText="1"/>
    </xf>
    <xf numFmtId="0" fontId="3" fillId="0" borderId="26" xfId="26" applyFont="1" applyBorder="1" applyAlignment="1">
      <alignment horizontal="center" vertical="center" wrapText="1"/>
    </xf>
    <xf numFmtId="0" fontId="3" fillId="0" borderId="27" xfId="26" applyFont="1" applyBorder="1" applyAlignment="1">
      <alignment horizontal="center" vertical="center" wrapText="1"/>
    </xf>
    <xf numFmtId="0" fontId="5" fillId="3" borderId="0" xfId="0" applyFont="1" applyFill="1" applyAlignment="1">
      <alignment horizontal="center" vertical="center" wrapText="1"/>
    </xf>
    <xf numFmtId="0" fontId="5" fillId="3" borderId="0" xfId="0" applyFont="1" applyFill="1" applyAlignment="1">
      <alignment horizontal="center" vertical="center"/>
    </xf>
    <xf numFmtId="0" fontId="47" fillId="0" borderId="47" xfId="0" applyFont="1" applyBorder="1" applyAlignment="1">
      <alignment horizontal="center" vertical="center"/>
    </xf>
    <xf numFmtId="0" fontId="47" fillId="0" borderId="48" xfId="0" applyFont="1" applyBorder="1" applyAlignment="1">
      <alignment horizontal="center" vertical="center"/>
    </xf>
    <xf numFmtId="0" fontId="5" fillId="0" borderId="5" xfId="26" applyFont="1" applyBorder="1" applyAlignment="1">
      <alignment horizontal="left" vertical="top" wrapText="1"/>
    </xf>
    <xf numFmtId="0" fontId="10" fillId="0" borderId="0" xfId="24" applyFont="1" applyAlignment="1">
      <alignment horizontal="center" vertical="center"/>
    </xf>
    <xf numFmtId="0" fontId="8" fillId="0" borderId="23" xfId="24" applyFont="1" applyBorder="1" applyAlignment="1">
      <alignment horizontal="left" vertical="top" wrapText="1"/>
    </xf>
    <xf numFmtId="0" fontId="8" fillId="0" borderId="5" xfId="24" applyFont="1" applyBorder="1" applyAlignment="1">
      <alignment horizontal="left" vertical="top" wrapText="1"/>
    </xf>
    <xf numFmtId="0" fontId="8" fillId="0" borderId="24" xfId="24" applyFont="1" applyBorder="1" applyAlignment="1">
      <alignment horizontal="left" vertical="top" wrapText="1"/>
    </xf>
    <xf numFmtId="0" fontId="8" fillId="0" borderId="0" xfId="24" applyFont="1" applyAlignment="1">
      <alignment horizontal="left" vertical="center" wrapText="1"/>
    </xf>
    <xf numFmtId="0" fontId="15" fillId="0" borderId="5" xfId="24" applyFont="1" applyBorder="1" applyAlignment="1">
      <alignment horizontal="left" vertical="top" wrapText="1"/>
    </xf>
    <xf numFmtId="0" fontId="50" fillId="3" borderId="0" xfId="24" applyFont="1" applyFill="1" applyAlignment="1">
      <alignment horizontal="left" vertical="center" wrapText="1"/>
    </xf>
    <xf numFmtId="0" fontId="21" fillId="5" borderId="23" xfId="24" applyFont="1" applyFill="1" applyBorder="1" applyAlignment="1">
      <alignment horizontal="center" vertical="center"/>
    </xf>
    <xf numFmtId="0" fontId="21" fillId="5" borderId="5" xfId="24" applyFont="1" applyFill="1" applyBorder="1" applyAlignment="1">
      <alignment horizontal="center" vertical="center"/>
    </xf>
    <xf numFmtId="0" fontId="21" fillId="5" borderId="33" xfId="15" applyFont="1" applyFill="1" applyBorder="1" applyAlignment="1">
      <alignment horizontal="center" vertical="center"/>
    </xf>
    <xf numFmtId="0" fontId="21" fillId="5" borderId="11" xfId="15" applyFont="1" applyFill="1" applyBorder="1" applyAlignment="1">
      <alignment horizontal="center" vertical="center"/>
    </xf>
    <xf numFmtId="0" fontId="21" fillId="5" borderId="24" xfId="24" applyFont="1" applyFill="1" applyBorder="1" applyAlignment="1">
      <alignment horizontal="center" vertical="center"/>
    </xf>
    <xf numFmtId="0" fontId="12" fillId="11" borderId="36" xfId="24" applyFont="1" applyFill="1" applyBorder="1" applyAlignment="1">
      <alignment horizontal="left" vertical="center" wrapText="1"/>
    </xf>
    <xf numFmtId="0" fontId="12" fillId="11" borderId="0" xfId="24" applyFont="1" applyFill="1" applyAlignment="1">
      <alignment horizontal="left" vertical="center" wrapText="1"/>
    </xf>
    <xf numFmtId="0" fontId="55" fillId="0" borderId="36" xfId="24" applyFont="1" applyBorder="1" applyAlignment="1">
      <alignment horizontal="left" vertical="top" wrapText="1"/>
    </xf>
    <xf numFmtId="0" fontId="55" fillId="0" borderId="0" xfId="24" applyFont="1" applyAlignment="1">
      <alignment horizontal="left" vertical="top" wrapText="1"/>
    </xf>
    <xf numFmtId="178" fontId="8" fillId="0" borderId="19" xfId="15" applyNumberFormat="1" applyFont="1" applyBorder="1" applyAlignment="1">
      <alignment horizontal="center" vertical="center" wrapText="1"/>
    </xf>
    <xf numFmtId="178" fontId="8" fillId="0" borderId="13" xfId="15" applyNumberFormat="1" applyFont="1" applyBorder="1" applyAlignment="1">
      <alignment horizontal="center" vertical="center" wrapText="1"/>
    </xf>
    <xf numFmtId="178" fontId="8" fillId="0" borderId="14" xfId="15" applyNumberFormat="1" applyFont="1" applyBorder="1" applyAlignment="1">
      <alignment horizontal="center" vertical="center" wrapText="1"/>
    </xf>
    <xf numFmtId="0" fontId="41" fillId="0" borderId="0" xfId="24" applyFont="1" applyAlignment="1">
      <alignment horizontal="left"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40" fillId="3" borderId="5" xfId="0" applyFont="1" applyFill="1" applyBorder="1" applyAlignment="1">
      <alignment horizontal="center" vertical="center"/>
    </xf>
    <xf numFmtId="0" fontId="5" fillId="0" borderId="32" xfId="26" applyFont="1" applyBorder="1" applyAlignment="1">
      <alignment horizontal="left" vertical="top" wrapText="1"/>
    </xf>
    <xf numFmtId="0" fontId="5" fillId="0" borderId="35" xfId="26" applyFont="1" applyBorder="1" applyAlignment="1">
      <alignment horizontal="left" vertical="top" wrapText="1"/>
    </xf>
    <xf numFmtId="0" fontId="5" fillId="0" borderId="44" xfId="26" applyFont="1" applyBorder="1" applyAlignment="1">
      <alignment horizontal="left" vertical="top" wrapText="1"/>
    </xf>
    <xf numFmtId="0" fontId="5" fillId="0" borderId="45" xfId="26" applyFont="1" applyBorder="1" applyAlignment="1">
      <alignment horizontal="left" vertical="top" wrapText="1"/>
    </xf>
    <xf numFmtId="0" fontId="5" fillId="0" borderId="33" xfId="26" applyFont="1" applyBorder="1" applyAlignment="1">
      <alignment horizontal="left" vertical="top" wrapText="1"/>
    </xf>
    <xf numFmtId="0" fontId="5" fillId="0" borderId="8" xfId="26" applyFont="1" applyBorder="1" applyAlignment="1">
      <alignment horizontal="left" vertical="top" wrapText="1"/>
    </xf>
    <xf numFmtId="0" fontId="21" fillId="5" borderId="20" xfId="24" applyFont="1" applyFill="1" applyBorder="1" applyAlignment="1">
      <alignment horizontal="center" vertical="center"/>
    </xf>
    <xf numFmtId="0" fontId="21" fillId="5" borderId="21" xfId="24" applyFont="1" applyFill="1" applyBorder="1" applyAlignment="1">
      <alignment horizontal="center" vertical="center"/>
    </xf>
    <xf numFmtId="0" fontId="21" fillId="5" borderId="29" xfId="24" applyFont="1" applyFill="1" applyBorder="1" applyAlignment="1">
      <alignment horizontal="center" vertical="center" wrapText="1"/>
    </xf>
    <xf numFmtId="0" fontId="21" fillId="5" borderId="107" xfId="24" applyFont="1" applyFill="1" applyBorder="1" applyAlignment="1">
      <alignment horizontal="center" vertical="center" wrapText="1"/>
    </xf>
    <xf numFmtId="0" fontId="21" fillId="5" borderId="11" xfId="24" applyFont="1" applyFill="1" applyBorder="1" applyAlignment="1">
      <alignment horizontal="center" vertical="center" wrapText="1"/>
    </xf>
    <xf numFmtId="0" fontId="8" fillId="0" borderId="19" xfId="24" applyFont="1" applyBorder="1" applyAlignment="1">
      <alignment horizontal="left" vertical="top" wrapText="1"/>
    </xf>
    <xf numFmtId="0" fontId="55" fillId="0" borderId="5" xfId="24" applyFont="1" applyBorder="1" applyAlignment="1">
      <alignment horizontal="left" vertical="top" wrapText="1"/>
    </xf>
    <xf numFmtId="0" fontId="28" fillId="0" borderId="6" xfId="24" applyFont="1" applyBorder="1" applyAlignment="1">
      <alignment horizontal="left" vertical="top" wrapText="1"/>
    </xf>
    <xf numFmtId="0" fontId="28" fillId="0" borderId="31" xfId="24" applyFont="1" applyBorder="1" applyAlignment="1">
      <alignment horizontal="left" vertical="top" wrapText="1"/>
    </xf>
    <xf numFmtId="0" fontId="28" fillId="0" borderId="7" xfId="24" applyFont="1" applyBorder="1" applyAlignment="1">
      <alignment horizontal="left" vertical="top" wrapText="1"/>
    </xf>
    <xf numFmtId="0" fontId="8" fillId="0" borderId="41" xfId="24" applyFont="1" applyBorder="1" applyAlignment="1">
      <alignment horizontal="center" vertical="center" wrapText="1"/>
    </xf>
    <xf numFmtId="0" fontId="8" fillId="0" borderId="42" xfId="24" applyFont="1" applyBorder="1" applyAlignment="1">
      <alignment horizontal="center" vertical="center"/>
    </xf>
    <xf numFmtId="0" fontId="31" fillId="5" borderId="5" xfId="0" applyFont="1" applyFill="1" applyBorder="1" applyAlignment="1">
      <alignment horizontal="center" vertical="center"/>
    </xf>
    <xf numFmtId="0" fontId="18" fillId="0" borderId="6" xfId="0" applyFont="1" applyBorder="1" applyAlignment="1">
      <alignment horizontal="left" vertical="top" wrapText="1"/>
    </xf>
    <xf numFmtId="0" fontId="18" fillId="0" borderId="7" xfId="0" applyFont="1" applyBorder="1" applyAlignment="1">
      <alignment horizontal="left" vertical="top"/>
    </xf>
    <xf numFmtId="0" fontId="7" fillId="0" borderId="5" xfId="0" applyFont="1" applyBorder="1" applyAlignment="1">
      <alignment horizontal="left" vertical="center" wrapText="1"/>
    </xf>
    <xf numFmtId="0" fontId="12" fillId="5" borderId="36" xfId="24" applyFont="1" applyFill="1" applyBorder="1" applyAlignment="1">
      <alignment horizontal="left" vertical="center" wrapText="1"/>
    </xf>
    <xf numFmtId="0" fontId="12" fillId="5" borderId="0" xfId="24" applyFont="1" applyFill="1" applyAlignment="1">
      <alignment horizontal="left" vertical="center" wrapText="1"/>
    </xf>
    <xf numFmtId="0" fontId="18" fillId="0" borderId="5" xfId="0" applyFont="1" applyBorder="1" applyAlignment="1">
      <alignment horizontal="left" vertical="top" wrapText="1"/>
    </xf>
    <xf numFmtId="0" fontId="27" fillId="0" borderId="6" xfId="0" applyFont="1" applyBorder="1" applyAlignment="1">
      <alignment horizontal="left" vertical="top" wrapText="1"/>
    </xf>
    <xf numFmtId="0" fontId="27" fillId="0" borderId="7" xfId="0" applyFont="1" applyBorder="1" applyAlignment="1">
      <alignment horizontal="left" vertical="top" wrapText="1"/>
    </xf>
    <xf numFmtId="0" fontId="7" fillId="0" borderId="5" xfId="0" applyFont="1" applyBorder="1" applyAlignment="1">
      <alignment horizontal="left" vertical="top" wrapText="1"/>
    </xf>
    <xf numFmtId="0" fontId="7" fillId="0" borderId="6" xfId="0" applyFont="1" applyBorder="1" applyAlignment="1">
      <alignment horizontal="left" vertical="top" wrapText="1"/>
    </xf>
    <xf numFmtId="0" fontId="7" fillId="0" borderId="5" xfId="0" applyFont="1" applyBorder="1" applyAlignment="1">
      <alignment horizontal="center" vertical="center"/>
    </xf>
    <xf numFmtId="0" fontId="40" fillId="3" borderId="0" xfId="0" applyFont="1" applyFill="1" applyAlignment="1">
      <alignment horizontal="left" vertical="center" wrapText="1"/>
    </xf>
    <xf numFmtId="0" fontId="91" fillId="0" borderId="5" xfId="0" applyFont="1" applyBorder="1" applyAlignment="1">
      <alignment horizontal="center" vertical="center" wrapText="1"/>
    </xf>
    <xf numFmtId="0" fontId="91" fillId="0" borderId="5" xfId="0" applyFont="1" applyBorder="1" applyAlignment="1">
      <alignment horizontal="left" vertical="center" wrapText="1"/>
    </xf>
    <xf numFmtId="0" fontId="92" fillId="0" borderId="5" xfId="0" applyFont="1" applyBorder="1" applyAlignment="1">
      <alignment horizontal="center" vertical="center" wrapText="1"/>
    </xf>
    <xf numFmtId="0" fontId="38" fillId="0" borderId="10" xfId="0" applyFont="1" applyBorder="1" applyAlignment="1">
      <alignment horizontal="center" vertical="center"/>
    </xf>
    <xf numFmtId="0" fontId="38" fillId="0" borderId="16" xfId="0" applyFont="1" applyBorder="1" applyAlignment="1">
      <alignment horizontal="center" vertical="center"/>
    </xf>
    <xf numFmtId="0" fontId="38" fillId="0" borderId="4" xfId="0" applyFont="1" applyBorder="1" applyAlignment="1">
      <alignment horizontal="center" vertical="center"/>
    </xf>
    <xf numFmtId="0" fontId="39" fillId="8" borderId="17" xfId="0" applyFont="1" applyFill="1" applyBorder="1" applyAlignment="1">
      <alignment horizontal="center" vertical="center"/>
    </xf>
    <xf numFmtId="0" fontId="39" fillId="8" borderId="15" xfId="0" applyFont="1" applyFill="1" applyBorder="1" applyAlignment="1">
      <alignment horizontal="center" vertical="center"/>
    </xf>
    <xf numFmtId="0" fontId="39" fillId="8" borderId="18" xfId="0" applyFont="1" applyFill="1" applyBorder="1" applyAlignment="1">
      <alignment horizontal="center" vertical="center"/>
    </xf>
    <xf numFmtId="0" fontId="36" fillId="9" borderId="3" xfId="0" applyFont="1" applyFill="1" applyBorder="1" applyAlignment="1">
      <alignment horizontal="left" vertical="center" wrapText="1"/>
    </xf>
    <xf numFmtId="0" fontId="36" fillId="9" borderId="12" xfId="0" applyFont="1" applyFill="1" applyBorder="1" applyAlignment="1">
      <alignment horizontal="left" vertical="center" wrapText="1"/>
    </xf>
    <xf numFmtId="0" fontId="36" fillId="9" borderId="2" xfId="0" applyFont="1" applyFill="1" applyBorder="1" applyAlignment="1">
      <alignment horizontal="left" vertical="center" wrapText="1"/>
    </xf>
    <xf numFmtId="0" fontId="34" fillId="11" borderId="9" xfId="0" applyFont="1" applyFill="1" applyBorder="1" applyAlignment="1">
      <alignment horizontal="center" vertical="center" wrapText="1"/>
    </xf>
    <xf numFmtId="0" fontId="36" fillId="9" borderId="10" xfId="0" applyFont="1" applyFill="1" applyBorder="1" applyAlignment="1">
      <alignment horizontal="center" vertical="center" wrapText="1"/>
    </xf>
    <xf numFmtId="0" fontId="36" fillId="9" borderId="16" xfId="0" applyFont="1" applyFill="1" applyBorder="1" applyAlignment="1">
      <alignment horizontal="center" vertical="center" wrapText="1"/>
    </xf>
    <xf numFmtId="0" fontId="36" fillId="9" borderId="4" xfId="0" applyFont="1" applyFill="1" applyBorder="1" applyAlignment="1">
      <alignment horizontal="center" vertical="center" wrapText="1"/>
    </xf>
    <xf numFmtId="0" fontId="21" fillId="5" borderId="9" xfId="0" applyFont="1" applyFill="1" applyBorder="1" applyAlignment="1">
      <alignment horizontal="center" vertical="center" wrapText="1"/>
    </xf>
    <xf numFmtId="0" fontId="36" fillId="9" borderId="10" xfId="0" applyFont="1" applyFill="1" applyBorder="1" applyAlignment="1">
      <alignment horizontal="left" vertical="center" wrapText="1"/>
    </xf>
    <xf numFmtId="0" fontId="36" fillId="9" borderId="16" xfId="0" applyFont="1" applyFill="1" applyBorder="1" applyAlignment="1">
      <alignment horizontal="left" vertical="center" wrapText="1"/>
    </xf>
    <xf numFmtId="0" fontId="36" fillId="9" borderId="4" xfId="0" applyFont="1" applyFill="1" applyBorder="1" applyAlignment="1">
      <alignment horizontal="left" vertical="center" wrapText="1"/>
    </xf>
    <xf numFmtId="0" fontId="8" fillId="0" borderId="9" xfId="0" applyFont="1" applyBorder="1" applyAlignment="1">
      <alignment horizontal="left" vertical="center" wrapText="1"/>
    </xf>
    <xf numFmtId="0" fontId="10" fillId="5" borderId="6" xfId="6" applyFont="1" applyFill="1" applyBorder="1" applyAlignment="1">
      <alignment horizontal="center" vertical="center"/>
    </xf>
    <xf numFmtId="0" fontId="10" fillId="5" borderId="31" xfId="6" applyFont="1" applyFill="1" applyBorder="1" applyAlignment="1">
      <alignment horizontal="center" vertical="center"/>
    </xf>
    <xf numFmtId="0" fontId="27" fillId="0" borderId="31" xfId="0" applyFont="1" applyBorder="1" applyAlignment="1">
      <alignment horizontal="left" vertical="top" wrapText="1"/>
    </xf>
    <xf numFmtId="0" fontId="9" fillId="0" borderId="34" xfId="6" applyFont="1" applyBorder="1" applyAlignment="1">
      <alignment horizontal="center" vertical="center"/>
    </xf>
    <xf numFmtId="0" fontId="9" fillId="0" borderId="0" xfId="10" applyFont="1" applyAlignment="1">
      <alignment horizontal="left" vertical="center"/>
    </xf>
    <xf numFmtId="0" fontId="9" fillId="0" borderId="11" xfId="10" applyFont="1" applyBorder="1" applyAlignment="1">
      <alignment horizontal="left" vertical="center"/>
    </xf>
    <xf numFmtId="0" fontId="21" fillId="5" borderId="5" xfId="10" applyFont="1" applyFill="1" applyBorder="1" applyAlignment="1">
      <alignment horizontal="center" vertical="center" wrapText="1"/>
    </xf>
    <xf numFmtId="0" fontId="14" fillId="7" borderId="5" xfId="10" applyFont="1" applyFill="1" applyBorder="1" applyAlignment="1">
      <alignment horizontal="center" vertical="center" wrapText="1"/>
    </xf>
    <xf numFmtId="0" fontId="9" fillId="0" borderId="23" xfId="10" applyFont="1" applyBorder="1" applyAlignment="1">
      <alignment horizontal="center" vertical="center"/>
    </xf>
    <xf numFmtId="0" fontId="25" fillId="5" borderId="28" xfId="10" applyFont="1" applyFill="1" applyBorder="1" applyAlignment="1">
      <alignment horizontal="center" vertical="center"/>
    </xf>
    <xf numFmtId="0" fontId="25" fillId="5" borderId="29" xfId="10" applyFont="1" applyFill="1" applyBorder="1" applyAlignment="1">
      <alignment horizontal="center" vertical="center"/>
    </xf>
    <xf numFmtId="0" fontId="25" fillId="5" borderId="30" xfId="10" applyFont="1" applyFill="1" applyBorder="1" applyAlignment="1">
      <alignment horizontal="center" vertical="center"/>
    </xf>
    <xf numFmtId="0" fontId="13" fillId="0" borderId="5" xfId="10" applyFont="1" applyBorder="1" applyAlignment="1">
      <alignment horizontal="center" vertical="center" wrapText="1"/>
    </xf>
    <xf numFmtId="0" fontId="13" fillId="0" borderId="24" xfId="10" applyFont="1" applyBorder="1" applyAlignment="1">
      <alignment horizontal="center" vertical="center" wrapText="1"/>
    </xf>
    <xf numFmtId="0" fontId="13" fillId="0" borderId="5" xfId="10" applyFont="1" applyBorder="1" applyAlignment="1">
      <alignment horizontal="center" vertical="center"/>
    </xf>
    <xf numFmtId="0" fontId="13" fillId="0" borderId="24" xfId="10" applyFont="1" applyBorder="1" applyAlignment="1">
      <alignment horizontal="center" vertical="center"/>
    </xf>
    <xf numFmtId="0" fontId="9" fillId="0" borderId="0" xfId="10" applyFont="1" applyAlignment="1">
      <alignment horizontal="center" vertical="center"/>
    </xf>
    <xf numFmtId="0" fontId="8" fillId="0" borderId="5" xfId="10" applyFont="1" applyBorder="1" applyAlignment="1">
      <alignment horizontal="center" vertical="center"/>
    </xf>
    <xf numFmtId="0" fontId="8" fillId="0" borderId="24" xfId="10" applyFont="1" applyBorder="1" applyAlignment="1">
      <alignment horizontal="center" vertical="center"/>
    </xf>
    <xf numFmtId="0" fontId="26" fillId="0" borderId="23" xfId="10" applyFont="1" applyBorder="1">
      <alignment vertical="center"/>
    </xf>
    <xf numFmtId="0" fontId="8" fillId="0" borderId="26" xfId="10" applyFont="1" applyBorder="1" applyAlignment="1">
      <alignment horizontal="center" vertical="center" wrapText="1"/>
    </xf>
    <xf numFmtId="0" fontId="8" fillId="0" borderId="27" xfId="10" applyFont="1" applyBorder="1" applyAlignment="1">
      <alignment horizontal="center" vertical="center" wrapText="1"/>
    </xf>
    <xf numFmtId="0" fontId="22" fillId="0" borderId="5" xfId="10" applyBorder="1" applyAlignment="1">
      <alignment horizontal="center" vertical="center" wrapText="1"/>
    </xf>
    <xf numFmtId="0" fontId="22" fillId="0" borderId="24" xfId="10" applyBorder="1" applyAlignment="1">
      <alignment horizontal="center" vertical="center" wrapText="1"/>
    </xf>
    <xf numFmtId="0" fontId="22" fillId="0" borderId="5" xfId="10" applyBorder="1" applyAlignment="1">
      <alignment horizontal="center" vertical="center"/>
    </xf>
    <xf numFmtId="0" fontId="22" fillId="0" borderId="24" xfId="10" applyBorder="1" applyAlignment="1">
      <alignment horizontal="center" vertical="center"/>
    </xf>
  </cellXfs>
  <cellStyles count="27">
    <cellStyle name="Normal 2" xfId="1" xr:uid="{00000000-0005-0000-0000-000031000000}"/>
    <cellStyle name="Normal 8 3" xfId="2" xr:uid="{00000000-0005-0000-0000-000032000000}"/>
    <cellStyle name="百分比 12" xfId="3" xr:uid="{00000000-0005-0000-0000-000033000000}"/>
    <cellStyle name="百分比 2" xfId="4" xr:uid="{00000000-0005-0000-0000-000034000000}"/>
    <cellStyle name="百分比 2 2" xfId="5" xr:uid="{00000000-0005-0000-0000-000035000000}"/>
    <cellStyle name="常规" xfId="0" builtinId="0"/>
    <cellStyle name="常规 16" xfId="6" xr:uid="{00000000-0005-0000-0000-000036000000}"/>
    <cellStyle name="常规 17" xfId="7" xr:uid="{00000000-0005-0000-0000-000037000000}"/>
    <cellStyle name="常规 18" xfId="8" xr:uid="{00000000-0005-0000-0000-000038000000}"/>
    <cellStyle name="常规 18 3" xfId="9" xr:uid="{00000000-0005-0000-0000-000039000000}"/>
    <cellStyle name="常规 19" xfId="10" xr:uid="{00000000-0005-0000-0000-00003A000000}"/>
    <cellStyle name="常规 19 2" xfId="11" xr:uid="{00000000-0005-0000-0000-00003B000000}"/>
    <cellStyle name="常规 2" xfId="12" xr:uid="{00000000-0005-0000-0000-00003C000000}"/>
    <cellStyle name="常规 2 10" xfId="13" xr:uid="{00000000-0005-0000-0000-00003D000000}"/>
    <cellStyle name="常规 2 2" xfId="14" xr:uid="{00000000-0005-0000-0000-00003E000000}"/>
    <cellStyle name="常规 2 6" xfId="15" xr:uid="{00000000-0005-0000-0000-00003F000000}"/>
    <cellStyle name="常规 20" xfId="16" xr:uid="{00000000-0005-0000-0000-000040000000}"/>
    <cellStyle name="常规 21" xfId="17" xr:uid="{00000000-0005-0000-0000-000041000000}"/>
    <cellStyle name="常规 25" xfId="18" xr:uid="{00000000-0005-0000-0000-000042000000}"/>
    <cellStyle name="常规 26" xfId="19" xr:uid="{00000000-0005-0000-0000-000043000000}"/>
    <cellStyle name="常规 27" xfId="20" xr:uid="{00000000-0005-0000-0000-000044000000}"/>
    <cellStyle name="常规 28" xfId="21" xr:uid="{00000000-0005-0000-0000-000045000000}"/>
    <cellStyle name="常规 29" xfId="22" xr:uid="{00000000-0005-0000-0000-000046000000}"/>
    <cellStyle name="常规 3" xfId="23" xr:uid="{00000000-0005-0000-0000-000047000000}"/>
    <cellStyle name="常规 3 2 3" xfId="24" xr:uid="{00000000-0005-0000-0000-000048000000}"/>
    <cellStyle name="常规 3 2 3 2" xfId="25" xr:uid="{00000000-0005-0000-0000-000049000000}"/>
    <cellStyle name="常规 5" xfId="26" xr:uid="{00000000-0005-0000-0000-00004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1865312</xdr:colOff>
      <xdr:row>33</xdr:row>
      <xdr:rowOff>1389063</xdr:rowOff>
    </xdr:from>
    <xdr:to>
      <xdr:col>3</xdr:col>
      <xdr:colOff>2487083</xdr:colOff>
      <xdr:row>33</xdr:row>
      <xdr:rowOff>1600729</xdr:rowOff>
    </xdr:to>
    <xdr:sp macro="" textlink="">
      <xdr:nvSpPr>
        <xdr:cNvPr id="2" name="文本框 1">
          <a:extLst>
            <a:ext uri="{FF2B5EF4-FFF2-40B4-BE49-F238E27FC236}">
              <a16:creationId xmlns:a16="http://schemas.microsoft.com/office/drawing/2014/main" id="{00000000-0008-0000-0F00-000002000000}"/>
            </a:ext>
          </a:extLst>
        </xdr:cNvPr>
        <xdr:cNvSpPr txBox="1"/>
      </xdr:nvSpPr>
      <xdr:spPr>
        <a:xfrm>
          <a:off x="5840095" y="10585450"/>
          <a:ext cx="621665" cy="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a:t>否</a:t>
          </a:r>
        </a:p>
      </xdr:txBody>
    </xdr:sp>
    <xdr:clientData/>
  </xdr:twoCellAnchor>
  <xdr:twoCellAnchor>
    <xdr:from>
      <xdr:col>3</xdr:col>
      <xdr:colOff>4888442</xdr:colOff>
      <xdr:row>33</xdr:row>
      <xdr:rowOff>1131358</xdr:rowOff>
    </xdr:from>
    <xdr:to>
      <xdr:col>3</xdr:col>
      <xdr:colOff>5510213</xdr:colOff>
      <xdr:row>33</xdr:row>
      <xdr:rowOff>1343024</xdr:rowOff>
    </xdr:to>
    <xdr:sp macro="" textlink="">
      <xdr:nvSpPr>
        <xdr:cNvPr id="3" name="文本框 2">
          <a:extLst>
            <a:ext uri="{FF2B5EF4-FFF2-40B4-BE49-F238E27FC236}">
              <a16:creationId xmlns:a16="http://schemas.microsoft.com/office/drawing/2014/main" id="{00000000-0008-0000-0F00-000003000000}"/>
            </a:ext>
          </a:extLst>
        </xdr:cNvPr>
        <xdr:cNvSpPr txBox="1"/>
      </xdr:nvSpPr>
      <xdr:spPr>
        <a:xfrm>
          <a:off x="6959600" y="10585450"/>
          <a:ext cx="0" cy="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a:t>否</a:t>
          </a:r>
        </a:p>
      </xdr:txBody>
    </xdr:sp>
    <xdr:clientData/>
  </xdr:twoCellAnchor>
  <xdr:twoCellAnchor editAs="oneCell">
    <xdr:from>
      <xdr:col>3</xdr:col>
      <xdr:colOff>651954</xdr:colOff>
      <xdr:row>32</xdr:row>
      <xdr:rowOff>121920</xdr:rowOff>
    </xdr:from>
    <xdr:to>
      <xdr:col>5</xdr:col>
      <xdr:colOff>651810</xdr:colOff>
      <xdr:row>32</xdr:row>
      <xdr:rowOff>1760885</xdr:rowOff>
    </xdr:to>
    <xdr:pic>
      <xdr:nvPicPr>
        <xdr:cNvPr id="4" name="图片 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1"/>
        <a:stretch>
          <a:fillRect/>
        </a:stretch>
      </xdr:blipFill>
      <xdr:spPr>
        <a:xfrm>
          <a:off x="4626610" y="8078470"/>
          <a:ext cx="4953000" cy="16389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sclient/Desktop/10.133.252.6/&#36130;&#21153;/&#26477;&#24030;&#22823;&#26106;/2004/9&#26376;/&#39046;&#2600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sclient/Desktop/D9BBD1DF/&#26106;&#26106;2&#26376;&#20998;&#2651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sclient/Desktop/FD6B5ADB/&#26106;&#26106;3&#26376;&#20998;&#2651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sclient/Desktop/0CC8A027/&#26106;&#26106;6&#26376;&#20998;&#265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原料"/>
      <sheetName val="调料"/>
      <sheetName val="包材"/>
      <sheetName val="五金修理"/>
    </sheetNames>
    <sheetDataSet>
      <sheetData sheetId="0" refreshError="1"/>
      <sheetData sheetId="1">
        <row r="13">
          <cell r="E13">
            <v>5.5967504489945226</v>
          </cell>
        </row>
      </sheetData>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产值分析表"/>
      <sheetName val="考核明细表"/>
      <sheetName val="考核明细表 (2)"/>
      <sheetName val="主力产品单位成本表取消"/>
      <sheetName val="制造成本实际与预算比"/>
      <sheetName val="年制造成本分析"/>
      <sheetName val="制造本月与上月、去年比"/>
      <sheetName val="产值比人数与人工"/>
      <sheetName val="产值比上年"/>
      <sheetName val="采购单价影响毛利"/>
      <sheetName val="变动表 "/>
      <sheetName val="库存分析表"/>
      <sheetName val="实际与标准比影响毛利"/>
      <sheetName val="毛利率比较"/>
      <sheetName val="能源耗表1"/>
      <sheetName val="能源耗表"/>
      <sheetName val="资产负债表"/>
      <sheetName val="损益表"/>
      <sheetName val="原料库存分析"/>
      <sheetName val="辅料库存分析"/>
      <sheetName val="包材库分析"/>
      <sheetName val="制造费用分摊明细"/>
      <sheetName val="五金修理"/>
      <sheetName val="五金修理分摊表_1"/>
      <sheetName val="8#原物料存货"/>
      <sheetName val="13#存货明细"/>
      <sheetName val="14#工资明细 "/>
      <sheetName val="总厂采购绩效9#"/>
      <sheetName val="总厂人工占产值比7#"/>
      <sheetName val="总厂各线产值分析"/>
      <sheetName val="营运指标示　"/>
      <sheetName val="调料"/>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产值分析表3"/>
      <sheetName val="考核明细表"/>
      <sheetName val="毛利率比较4"/>
      <sheetName val="实际与标准比影响毛利5"/>
      <sheetName val="考核明细表6"/>
      <sheetName val="主力产品单位成本表取消"/>
      <sheetName val="采购单价影响毛利9"/>
      <sheetName val="产值比上年11"/>
      <sheetName val="产值比人数与人工12"/>
      <sheetName val="制造成本实际与预算比15-1"/>
      <sheetName val="年制造成本分析15-2"/>
      <sheetName val="制造本月与上月、去年比15-3"/>
      <sheetName val="标准与实际比16"/>
      <sheetName val="变动表 "/>
      <sheetName val="库存分析表"/>
      <sheetName val="能源耗表1"/>
      <sheetName val="能源耗表"/>
      <sheetName val="资产负债表"/>
      <sheetName val="损益表"/>
      <sheetName val="五金修理"/>
      <sheetName val="原料分析表"/>
      <sheetName val="辅料分析表"/>
      <sheetName val="包材库存分析"/>
      <sheetName val="制造费用分摊表"/>
      <sheetName val="五金修理分摊表_1"/>
      <sheetName val="8#原物料存货"/>
      <sheetName val="13#存货明细"/>
      <sheetName val="14#工资明细 "/>
      <sheetName val="总厂采购绩效9#"/>
      <sheetName val="总厂人工占产值比7#"/>
      <sheetName val="总厂各线产值分析"/>
      <sheetName val="营运指标示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产值分析表3"/>
      <sheetName val="考核明细表"/>
      <sheetName val="毛利率比较4"/>
      <sheetName val="实际与标准比影响毛利5"/>
      <sheetName val="主力产品单位成本表取消"/>
      <sheetName val="采购单价影响毛利9"/>
      <sheetName val="产值比上年11"/>
      <sheetName val="产值比人数与人工12"/>
      <sheetName val="考核明细表6"/>
      <sheetName val="制造成本实际与预算比15-1"/>
      <sheetName val="年制造成本分析15-2"/>
      <sheetName val="制造本月与上月、去年比15-3"/>
      <sheetName val="标准与实际比16"/>
      <sheetName val="资产负债表"/>
      <sheetName val="损益表"/>
      <sheetName val="变动表 "/>
      <sheetName val="库存分析表"/>
      <sheetName val="能源耗表1"/>
      <sheetName val="能源耗表"/>
      <sheetName val="五金修理"/>
      <sheetName val="辅料分析表"/>
      <sheetName val="包材库存分析"/>
      <sheetName val="制造费用分摊表"/>
      <sheetName val="原料分析表"/>
      <sheetName val="五金修理分摊表_1"/>
      <sheetName val="8#原物料存货"/>
      <sheetName val="13#存货明细"/>
      <sheetName val="14#工资明细 "/>
      <sheetName val="总厂采购绩效9#"/>
      <sheetName val="总厂人工占产值比7#"/>
      <sheetName val="总厂各线产值分析"/>
      <sheetName val="营运指标示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3:M39"/>
  <sheetViews>
    <sheetView showGridLines="0" tabSelected="1" zoomScaleNormal="100" workbookViewId="0">
      <pane xSplit="4" ySplit="4" topLeftCell="E5" activePane="bottomRight" state="frozen"/>
      <selection pane="topRight" activeCell="E1" sqref="E1"/>
      <selection pane="bottomLeft" activeCell="A5" sqref="A5"/>
      <selection pane="bottomRight" activeCell="M17" sqref="M17"/>
    </sheetView>
  </sheetViews>
  <sheetFormatPr baseColWidth="10" defaultColWidth="10.83203125" defaultRowHeight="18"/>
  <cols>
    <col min="1" max="1" width="2.33203125" style="153" customWidth="1"/>
    <col min="2" max="2" width="12.5" style="153" customWidth="1"/>
    <col min="3" max="3" width="11" style="153" customWidth="1"/>
    <col min="4" max="4" width="12" style="153" customWidth="1"/>
    <col min="5" max="5" width="15.5" style="153" customWidth="1"/>
    <col min="6" max="6" width="29.5" style="153" customWidth="1"/>
    <col min="7" max="7" width="16.1640625" style="153" customWidth="1"/>
    <col min="8" max="8" width="26.33203125" style="153" customWidth="1"/>
    <col min="9" max="9" width="9.1640625" style="153" customWidth="1"/>
    <col min="10" max="16384" width="10.83203125" style="153"/>
  </cols>
  <sheetData>
    <row r="3" spans="2:13" ht="19" thickBot="1">
      <c r="B3" s="278" t="s">
        <v>40</v>
      </c>
      <c r="C3" s="278"/>
      <c r="D3" s="278"/>
      <c r="E3" s="12" t="s">
        <v>41</v>
      </c>
    </row>
    <row r="4" spans="2:13" s="150" customFormat="1" collapsed="1">
      <c r="B4" s="293" t="s">
        <v>42</v>
      </c>
      <c r="C4" s="279" t="s">
        <v>0</v>
      </c>
      <c r="D4" s="280"/>
      <c r="E4" s="281" t="s">
        <v>9</v>
      </c>
      <c r="F4" s="282"/>
      <c r="G4" s="282"/>
      <c r="H4" s="282"/>
      <c r="I4" s="280"/>
    </row>
    <row r="5" spans="2:13" s="150" customFormat="1">
      <c r="B5" s="294"/>
      <c r="C5" s="287" t="s">
        <v>43</v>
      </c>
      <c r="D5" s="288"/>
      <c r="E5" s="154" t="s">
        <v>18</v>
      </c>
      <c r="F5" s="155" t="s">
        <v>22</v>
      </c>
      <c r="G5" s="285" t="s">
        <v>25</v>
      </c>
      <c r="H5" s="286"/>
      <c r="I5" s="156" t="s">
        <v>26</v>
      </c>
    </row>
    <row r="6" spans="2:13" s="150" customFormat="1" ht="30">
      <c r="B6" s="294"/>
      <c r="C6" s="289"/>
      <c r="D6" s="290"/>
      <c r="E6" s="157" t="s">
        <v>46</v>
      </c>
      <c r="F6" s="158" t="s">
        <v>361</v>
      </c>
      <c r="G6" s="283" t="s">
        <v>362</v>
      </c>
      <c r="H6" s="284"/>
      <c r="I6" s="236" t="s">
        <v>45</v>
      </c>
    </row>
    <row r="7" spans="2:13" s="150" customFormat="1">
      <c r="B7" s="294"/>
      <c r="C7" s="289"/>
      <c r="D7" s="290"/>
      <c r="E7" s="159" t="s">
        <v>44</v>
      </c>
      <c r="F7" s="161" t="s">
        <v>47</v>
      </c>
      <c r="G7" s="283" t="s">
        <v>48</v>
      </c>
      <c r="H7" s="284"/>
      <c r="I7" s="237"/>
    </row>
    <row r="8" spans="2:13" s="150" customFormat="1">
      <c r="B8" s="294"/>
      <c r="C8" s="289"/>
      <c r="D8" s="290"/>
      <c r="E8" s="159" t="s">
        <v>49</v>
      </c>
      <c r="F8" s="161" t="s">
        <v>50</v>
      </c>
      <c r="G8" s="283" t="s">
        <v>51</v>
      </c>
      <c r="H8" s="284"/>
      <c r="I8" s="237"/>
    </row>
    <row r="9" spans="2:13" s="150" customFormat="1">
      <c r="B9" s="294"/>
      <c r="C9" s="289"/>
      <c r="D9" s="290"/>
      <c r="E9" s="159" t="s">
        <v>55</v>
      </c>
      <c r="F9" s="160" t="s">
        <v>56</v>
      </c>
      <c r="G9" s="274" t="s">
        <v>348</v>
      </c>
      <c r="H9" s="275"/>
      <c r="I9" s="237"/>
    </row>
    <row r="10" spans="2:13" s="150" customFormat="1">
      <c r="B10" s="294"/>
      <c r="C10" s="289"/>
      <c r="D10" s="290"/>
      <c r="E10" s="159" t="s">
        <v>52</v>
      </c>
      <c r="F10" s="162" t="s">
        <v>53</v>
      </c>
      <c r="G10" s="283" t="s">
        <v>54</v>
      </c>
      <c r="H10" s="284"/>
      <c r="I10" s="237"/>
    </row>
    <row r="11" spans="2:13" s="150" customFormat="1">
      <c r="B11" s="294"/>
      <c r="C11" s="289"/>
      <c r="D11" s="290"/>
      <c r="E11" s="159" t="s">
        <v>345</v>
      </c>
      <c r="F11" s="161" t="s">
        <v>346</v>
      </c>
      <c r="G11" s="276" t="s">
        <v>359</v>
      </c>
      <c r="H11" s="277"/>
      <c r="I11" s="237"/>
    </row>
    <row r="12" spans="2:13" s="150" customFormat="1">
      <c r="B12" s="294"/>
      <c r="C12" s="289"/>
      <c r="D12" s="290"/>
      <c r="E12" s="159" t="s">
        <v>344</v>
      </c>
      <c r="F12" s="161" t="s">
        <v>347</v>
      </c>
      <c r="G12" s="283" t="s">
        <v>358</v>
      </c>
      <c r="H12" s="284"/>
      <c r="I12" s="237"/>
    </row>
    <row r="13" spans="2:13" s="150" customFormat="1" ht="30">
      <c r="B13" s="294"/>
      <c r="C13" s="289"/>
      <c r="D13" s="290"/>
      <c r="E13" s="159" t="s">
        <v>57</v>
      </c>
      <c r="F13" s="160" t="s">
        <v>58</v>
      </c>
      <c r="G13" s="274" t="s">
        <v>360</v>
      </c>
      <c r="H13" s="275"/>
      <c r="I13" s="237"/>
    </row>
    <row r="14" spans="2:13" s="150" customFormat="1" ht="17">
      <c r="B14" s="294"/>
      <c r="C14" s="291"/>
      <c r="D14" s="292"/>
      <c r="E14" s="159"/>
      <c r="F14" s="160"/>
      <c r="G14" s="274"/>
      <c r="H14" s="275"/>
      <c r="I14" s="238"/>
    </row>
    <row r="15" spans="2:13" s="150" customFormat="1" ht="22">
      <c r="B15" s="295"/>
      <c r="C15" s="231" t="s">
        <v>4</v>
      </c>
      <c r="D15" s="163" t="s">
        <v>59</v>
      </c>
      <c r="E15" s="242" t="s">
        <v>60</v>
      </c>
      <c r="F15" s="240"/>
      <c r="G15" s="240"/>
      <c r="H15" s="240"/>
      <c r="I15" s="241"/>
      <c r="J15"/>
      <c r="K15"/>
      <c r="L15"/>
      <c r="M15"/>
    </row>
    <row r="16" spans="2:13" s="151" customFormat="1" ht="22">
      <c r="B16" s="295"/>
      <c r="C16" s="231"/>
      <c r="D16" s="163" t="s">
        <v>61</v>
      </c>
      <c r="E16" s="271" t="s">
        <v>62</v>
      </c>
      <c r="F16" s="272"/>
      <c r="G16" s="272"/>
      <c r="H16" s="272"/>
      <c r="I16" s="273"/>
      <c r="J16"/>
      <c r="K16"/>
      <c r="L16"/>
      <c r="M16"/>
    </row>
    <row r="17" spans="2:13" s="151" customFormat="1" ht="102" customHeight="1" thickBot="1">
      <c r="B17" s="295"/>
      <c r="C17" s="232"/>
      <c r="D17" s="164" t="s">
        <v>63</v>
      </c>
      <c r="E17" s="264" t="s">
        <v>462</v>
      </c>
      <c r="F17" s="265"/>
      <c r="G17" s="265"/>
      <c r="H17" s="265"/>
      <c r="I17" s="266"/>
      <c r="J17"/>
      <c r="K17"/>
      <c r="L17"/>
      <c r="M17"/>
    </row>
    <row r="18" spans="2:13" s="151" customFormat="1" ht="51" customHeight="1">
      <c r="B18" s="295"/>
      <c r="C18" s="227" t="s">
        <v>23</v>
      </c>
      <c r="D18" s="165" t="s">
        <v>59</v>
      </c>
      <c r="E18" s="255" t="s">
        <v>64</v>
      </c>
      <c r="F18" s="269"/>
      <c r="G18" s="269"/>
      <c r="H18" s="269"/>
      <c r="I18" s="270"/>
      <c r="J18"/>
      <c r="K18"/>
      <c r="L18"/>
      <c r="M18"/>
    </row>
    <row r="19" spans="2:13" s="151" customFormat="1" ht="51" customHeight="1">
      <c r="B19" s="295"/>
      <c r="C19" s="228"/>
      <c r="D19" s="166" t="s">
        <v>61</v>
      </c>
      <c r="E19" s="239" t="s">
        <v>364</v>
      </c>
      <c r="F19" s="240"/>
      <c r="G19" s="240"/>
      <c r="H19" s="240"/>
      <c r="I19" s="241"/>
      <c r="J19"/>
      <c r="K19"/>
      <c r="L19"/>
      <c r="M19"/>
    </row>
    <row r="20" spans="2:13" s="152" customFormat="1" ht="95" customHeight="1" thickBot="1">
      <c r="B20" s="295"/>
      <c r="C20" s="229"/>
      <c r="D20" s="167" t="s">
        <v>63</v>
      </c>
      <c r="E20" s="264" t="s">
        <v>462</v>
      </c>
      <c r="F20" s="265"/>
      <c r="G20" s="265"/>
      <c r="H20" s="265"/>
      <c r="I20" s="266"/>
      <c r="J20" s="148"/>
      <c r="K20" s="148"/>
      <c r="L20" s="148"/>
      <c r="M20" s="148"/>
    </row>
    <row r="21" spans="2:13" s="151" customFormat="1" ht="51" customHeight="1">
      <c r="B21" s="295"/>
      <c r="C21" s="230" t="s">
        <v>6</v>
      </c>
      <c r="D21" s="168" t="s">
        <v>59</v>
      </c>
      <c r="E21" s="258" t="s">
        <v>341</v>
      </c>
      <c r="F21" s="267"/>
      <c r="G21" s="267"/>
      <c r="H21" s="267"/>
      <c r="I21" s="268"/>
      <c r="J21"/>
      <c r="K21"/>
      <c r="L21"/>
      <c r="M21"/>
    </row>
    <row r="22" spans="2:13" s="151" customFormat="1" ht="51" customHeight="1">
      <c r="B22" s="295"/>
      <c r="C22" s="231"/>
      <c r="D22" s="163" t="s">
        <v>61</v>
      </c>
      <c r="E22" s="239" t="s">
        <v>354</v>
      </c>
      <c r="F22" s="240"/>
      <c r="G22" s="240"/>
      <c r="H22" s="240"/>
      <c r="I22" s="241"/>
      <c r="J22"/>
      <c r="K22"/>
      <c r="L22"/>
      <c r="M22"/>
    </row>
    <row r="23" spans="2:13" s="151" customFormat="1" ht="51" customHeight="1">
      <c r="B23" s="295"/>
      <c r="C23" s="231"/>
      <c r="D23" s="163" t="s">
        <v>66</v>
      </c>
      <c r="E23" s="242" t="s">
        <v>363</v>
      </c>
      <c r="F23" s="240"/>
      <c r="G23" s="240"/>
      <c r="H23" s="240"/>
      <c r="I23" s="241"/>
      <c r="J23"/>
      <c r="K23"/>
      <c r="L23"/>
      <c r="M23"/>
    </row>
    <row r="24" spans="2:13" s="151" customFormat="1" ht="75" customHeight="1" thickBot="1">
      <c r="B24" s="295"/>
      <c r="C24" s="232"/>
      <c r="D24" s="164" t="s">
        <v>63</v>
      </c>
      <c r="E24" s="264" t="s">
        <v>462</v>
      </c>
      <c r="F24" s="265"/>
      <c r="G24" s="265"/>
      <c r="H24" s="265"/>
      <c r="I24" s="266"/>
      <c r="J24"/>
      <c r="K24"/>
      <c r="L24"/>
      <c r="M24"/>
    </row>
    <row r="25" spans="2:13" s="151" customFormat="1" ht="51" customHeight="1">
      <c r="B25" s="295"/>
      <c r="C25" s="233" t="s">
        <v>27</v>
      </c>
      <c r="D25" s="165" t="s">
        <v>59</v>
      </c>
      <c r="E25" s="258" t="s">
        <v>65</v>
      </c>
      <c r="F25" s="259"/>
      <c r="G25" s="259"/>
      <c r="H25" s="259"/>
      <c r="I25" s="260"/>
      <c r="J25"/>
      <c r="K25"/>
      <c r="L25"/>
      <c r="M25"/>
    </row>
    <row r="26" spans="2:13" s="151" customFormat="1" ht="51" customHeight="1">
      <c r="B26" s="295"/>
      <c r="C26" s="234"/>
      <c r="D26" s="166" t="s">
        <v>66</v>
      </c>
      <c r="E26" s="239" t="s">
        <v>368</v>
      </c>
      <c r="F26" s="246"/>
      <c r="G26" s="246"/>
      <c r="H26" s="246"/>
      <c r="I26" s="247"/>
      <c r="J26"/>
      <c r="K26"/>
      <c r="L26"/>
      <c r="M26"/>
    </row>
    <row r="27" spans="2:13" s="151" customFormat="1" ht="51" customHeight="1">
      <c r="B27" s="295"/>
      <c r="C27" s="234"/>
      <c r="D27" s="213" t="s">
        <v>67</v>
      </c>
      <c r="E27" s="261" t="s">
        <v>68</v>
      </c>
      <c r="F27" s="262"/>
      <c r="G27" s="262"/>
      <c r="H27" s="262"/>
      <c r="I27" s="263"/>
      <c r="J27"/>
      <c r="K27"/>
      <c r="L27"/>
      <c r="M27"/>
    </row>
    <row r="28" spans="2:13" s="151" customFormat="1" ht="79" customHeight="1">
      <c r="B28" s="295"/>
      <c r="C28" s="234"/>
      <c r="D28" s="215" t="s">
        <v>63</v>
      </c>
      <c r="E28" s="243" t="s">
        <v>463</v>
      </c>
      <c r="F28" s="244"/>
      <c r="G28" s="244"/>
      <c r="H28" s="244"/>
      <c r="I28" s="245"/>
      <c r="J28"/>
      <c r="K28"/>
      <c r="L28"/>
      <c r="M28"/>
    </row>
    <row r="29" spans="2:13" s="151" customFormat="1" ht="319" customHeight="1" thickBot="1">
      <c r="B29" s="295"/>
      <c r="C29" s="235"/>
      <c r="D29" s="214" t="s">
        <v>452</v>
      </c>
      <c r="E29" s="252" t="s">
        <v>456</v>
      </c>
      <c r="F29" s="253"/>
      <c r="G29" s="253"/>
      <c r="H29" s="253"/>
      <c r="I29" s="254"/>
      <c r="J29"/>
      <c r="K29"/>
      <c r="L29"/>
      <c r="M29"/>
    </row>
    <row r="30" spans="2:13" s="151" customFormat="1" ht="38" customHeight="1">
      <c r="B30" s="169"/>
      <c r="C30" s="233" t="s">
        <v>8</v>
      </c>
      <c r="D30" s="165" t="s">
        <v>59</v>
      </c>
      <c r="E30" s="255" t="s">
        <v>365</v>
      </c>
      <c r="F30" s="256"/>
      <c r="G30" s="256"/>
      <c r="H30" s="256"/>
      <c r="I30" s="257"/>
      <c r="J30"/>
      <c r="K30"/>
      <c r="L30"/>
      <c r="M30"/>
    </row>
    <row r="31" spans="2:13" s="151" customFormat="1" ht="77" customHeight="1">
      <c r="B31" s="169"/>
      <c r="C31" s="234"/>
      <c r="D31" s="166" t="s">
        <v>61</v>
      </c>
      <c r="E31" s="225" t="s">
        <v>433</v>
      </c>
      <c r="F31" s="225"/>
      <c r="G31" s="225"/>
      <c r="H31" s="225"/>
      <c r="I31" s="225"/>
      <c r="J31"/>
      <c r="K31"/>
      <c r="L31"/>
      <c r="M31"/>
    </row>
    <row r="32" spans="2:13" s="151" customFormat="1" ht="22">
      <c r="B32" s="169"/>
      <c r="C32" s="234"/>
      <c r="D32" s="166" t="s">
        <v>66</v>
      </c>
      <c r="E32" s="239" t="s">
        <v>363</v>
      </c>
      <c r="F32" s="246"/>
      <c r="G32" s="246"/>
      <c r="H32" s="246"/>
      <c r="I32" s="247"/>
      <c r="J32"/>
      <c r="K32"/>
      <c r="L32"/>
      <c r="M32"/>
    </row>
    <row r="33" spans="2:13" s="151" customFormat="1" ht="22">
      <c r="B33" s="169"/>
      <c r="C33" s="234"/>
      <c r="D33" s="166" t="s">
        <v>67</v>
      </c>
      <c r="E33" s="239" t="s">
        <v>68</v>
      </c>
      <c r="F33" s="246"/>
      <c r="G33" s="246"/>
      <c r="H33" s="246"/>
      <c r="I33" s="247"/>
      <c r="J33"/>
      <c r="K33"/>
      <c r="L33"/>
      <c r="M33"/>
    </row>
    <row r="34" spans="2:13" s="151" customFormat="1" ht="23" thickBot="1">
      <c r="B34" s="169"/>
      <c r="C34" s="235"/>
      <c r="D34" s="167" t="s">
        <v>63</v>
      </c>
      <c r="E34" s="248" t="s">
        <v>464</v>
      </c>
      <c r="F34" s="249"/>
      <c r="G34" s="249"/>
      <c r="H34" s="249"/>
      <c r="I34" s="250"/>
      <c r="J34"/>
      <c r="K34"/>
      <c r="L34"/>
      <c r="M34"/>
    </row>
    <row r="35" spans="2:13" ht="80" customHeight="1">
      <c r="B35" s="222" t="s">
        <v>69</v>
      </c>
      <c r="C35" s="170" t="s">
        <v>70</v>
      </c>
      <c r="D35" s="171" t="s">
        <v>61</v>
      </c>
      <c r="E35" s="251" t="s">
        <v>434</v>
      </c>
      <c r="F35" s="251"/>
      <c r="G35" s="251"/>
      <c r="H35" s="251"/>
      <c r="I35" s="251"/>
    </row>
    <row r="36" spans="2:13" ht="19">
      <c r="B36" s="223"/>
      <c r="C36" s="210" t="s">
        <v>435</v>
      </c>
      <c r="D36" s="210" t="s">
        <v>436</v>
      </c>
      <c r="E36" s="224" t="s">
        <v>340</v>
      </c>
      <c r="F36" s="224"/>
      <c r="G36" s="224"/>
      <c r="H36" s="224"/>
      <c r="I36" s="224"/>
    </row>
    <row r="37" spans="2:13" ht="50" customHeight="1">
      <c r="B37" s="223"/>
      <c r="C37" s="210" t="s">
        <v>437</v>
      </c>
      <c r="D37" s="210" t="s">
        <v>436</v>
      </c>
      <c r="E37" s="225" t="s">
        <v>438</v>
      </c>
      <c r="F37" s="225"/>
      <c r="G37" s="225"/>
      <c r="H37" s="225"/>
      <c r="I37" s="225"/>
    </row>
    <row r="38" spans="2:13" ht="40" customHeight="1">
      <c r="B38" s="223"/>
      <c r="C38" s="211" t="s">
        <v>439</v>
      </c>
      <c r="D38" s="210" t="s">
        <v>436</v>
      </c>
      <c r="E38" s="226" t="s">
        <v>440</v>
      </c>
      <c r="F38" s="226"/>
      <c r="G38" s="226"/>
      <c r="H38" s="226"/>
      <c r="I38" s="226"/>
    </row>
    <row r="39" spans="2:13" ht="40" customHeight="1">
      <c r="B39" s="223"/>
      <c r="C39" s="212" t="s">
        <v>441</v>
      </c>
      <c r="D39" s="210" t="s">
        <v>436</v>
      </c>
      <c r="E39" s="226" t="s">
        <v>440</v>
      </c>
      <c r="F39" s="226"/>
      <c r="G39" s="226"/>
      <c r="H39" s="226"/>
      <c r="I39" s="226"/>
    </row>
  </sheetData>
  <mergeCells count="47">
    <mergeCell ref="G11:H11"/>
    <mergeCell ref="B3:D3"/>
    <mergeCell ref="C4:D4"/>
    <mergeCell ref="E4:I4"/>
    <mergeCell ref="G7:H7"/>
    <mergeCell ref="G10:H10"/>
    <mergeCell ref="G5:H5"/>
    <mergeCell ref="G6:H6"/>
    <mergeCell ref="G8:H8"/>
    <mergeCell ref="G9:H9"/>
    <mergeCell ref="C5:D14"/>
    <mergeCell ref="B4:B29"/>
    <mergeCell ref="C15:C17"/>
    <mergeCell ref="G12:H12"/>
    <mergeCell ref="G13:H13"/>
    <mergeCell ref="E20:I20"/>
    <mergeCell ref="E17:I17"/>
    <mergeCell ref="E18:I18"/>
    <mergeCell ref="E16:I16"/>
    <mergeCell ref="G14:H14"/>
    <mergeCell ref="E26:I26"/>
    <mergeCell ref="E24:I24"/>
    <mergeCell ref="E23:I23"/>
    <mergeCell ref="E22:I22"/>
    <mergeCell ref="E21:I21"/>
    <mergeCell ref="C18:C20"/>
    <mergeCell ref="C21:C24"/>
    <mergeCell ref="C25:C29"/>
    <mergeCell ref="C30:C34"/>
    <mergeCell ref="I6:I14"/>
    <mergeCell ref="E19:I19"/>
    <mergeCell ref="E15:I15"/>
    <mergeCell ref="E28:I28"/>
    <mergeCell ref="E33:I33"/>
    <mergeCell ref="E34:I34"/>
    <mergeCell ref="E29:I29"/>
    <mergeCell ref="E31:I31"/>
    <mergeCell ref="E32:I32"/>
    <mergeCell ref="E30:I30"/>
    <mergeCell ref="E25:I25"/>
    <mergeCell ref="E27:I27"/>
    <mergeCell ref="B35:B39"/>
    <mergeCell ref="E36:I36"/>
    <mergeCell ref="E37:I37"/>
    <mergeCell ref="E38:I38"/>
    <mergeCell ref="E39:I39"/>
    <mergeCell ref="E35:I35"/>
  </mergeCells>
  <phoneticPr fontId="80" type="noConversion"/>
  <pageMargins left="0.25" right="0.25" top="0.75" bottom="0.75" header="0.3" footer="0.3"/>
  <pageSetup paperSize="9" scale="27"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4D580-5659-7A46-AFBD-3764F0F6C605}">
  <dimension ref="A1:A2"/>
  <sheetViews>
    <sheetView workbookViewId="0">
      <selection activeCell="A5" sqref="A5:A6"/>
    </sheetView>
  </sheetViews>
  <sheetFormatPr baseColWidth="10" defaultRowHeight="16"/>
  <cols>
    <col min="1" max="1" width="94.6640625" customWidth="1"/>
  </cols>
  <sheetData>
    <row r="1" spans="1:1">
      <c r="A1" s="220" t="s">
        <v>454</v>
      </c>
    </row>
    <row r="2" spans="1:1" ht="119">
      <c r="A2" s="221" t="s">
        <v>455</v>
      </c>
    </row>
  </sheetData>
  <phoneticPr fontId="8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tint="-0.14999847407452621"/>
  </sheetPr>
  <dimension ref="B2:D4"/>
  <sheetViews>
    <sheetView workbookViewId="0">
      <selection activeCell="G28" sqref="G28"/>
    </sheetView>
  </sheetViews>
  <sheetFormatPr baseColWidth="10" defaultColWidth="10.83203125" defaultRowHeight="18"/>
  <cols>
    <col min="1" max="2" width="10.83203125" style="12"/>
    <col min="3" max="3" width="67.83203125" style="12" customWidth="1"/>
    <col min="4" max="4" width="36.6640625" style="12" customWidth="1"/>
    <col min="5" max="16384" width="10.83203125" style="12"/>
  </cols>
  <sheetData>
    <row r="2" spans="2:4" ht="37" customHeight="1">
      <c r="B2" s="296" t="s">
        <v>71</v>
      </c>
      <c r="C2" s="296"/>
    </row>
    <row r="3" spans="2:4" ht="81" customHeight="1">
      <c r="B3" s="149" t="s">
        <v>72</v>
      </c>
      <c r="C3" s="18" t="s">
        <v>380</v>
      </c>
      <c r="D3" s="297" t="s">
        <v>381</v>
      </c>
    </row>
    <row r="4" spans="2:4" ht="160" customHeight="1">
      <c r="B4" s="149" t="s">
        <v>446</v>
      </c>
      <c r="C4" s="18" t="s">
        <v>445</v>
      </c>
      <c r="D4" s="297"/>
    </row>
  </sheetData>
  <mergeCells count="2">
    <mergeCell ref="B2:C2"/>
    <mergeCell ref="D3:D4"/>
  </mergeCells>
  <phoneticPr fontId="8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I13"/>
  <sheetViews>
    <sheetView showGridLines="0" zoomScale="110" zoomScaleNormal="110" workbookViewId="0">
      <selection activeCell="J8" sqref="J8"/>
    </sheetView>
  </sheetViews>
  <sheetFormatPr baseColWidth="10" defaultColWidth="10.83203125" defaultRowHeight="18"/>
  <cols>
    <col min="1" max="1" width="2.33203125" style="153" customWidth="1"/>
    <col min="2" max="2" width="12.5" style="153" customWidth="1"/>
    <col min="3" max="3" width="11" style="153" customWidth="1"/>
    <col min="4" max="4" width="12" style="153" customWidth="1"/>
    <col min="5" max="5" width="64.5" style="153" customWidth="1"/>
    <col min="6" max="6" width="31.6640625" style="153" customWidth="1"/>
    <col min="7" max="7" width="14.6640625" style="153" customWidth="1"/>
    <col min="8" max="8" width="13.6640625" style="153" customWidth="1"/>
    <col min="9" max="9" width="36.6640625" style="153" customWidth="1"/>
    <col min="10" max="10" width="27.33203125" style="153" customWidth="1"/>
    <col min="11" max="11" width="16.1640625" style="153" customWidth="1"/>
    <col min="12" max="12" width="16.83203125" style="153" customWidth="1"/>
    <col min="13" max="13" width="20.83203125" style="153" customWidth="1"/>
    <col min="14" max="14" width="10.83203125" style="153" customWidth="1"/>
    <col min="15" max="15" width="23" style="153" customWidth="1"/>
    <col min="16" max="16" width="19.5" style="153" customWidth="1"/>
    <col min="17" max="17" width="17.6640625" style="153" customWidth="1"/>
    <col min="18" max="18" width="15" style="153" customWidth="1"/>
    <col min="19" max="19" width="10.83203125" style="153"/>
    <col min="20" max="20" width="20.1640625" style="153" customWidth="1"/>
    <col min="21" max="21" width="19.33203125" style="153" customWidth="1"/>
    <col min="22" max="22" width="17.5" style="153" customWidth="1"/>
    <col min="23" max="23" width="15.83203125" style="153" customWidth="1"/>
    <col min="24" max="24" width="10.83203125" style="153"/>
    <col min="25" max="25" width="21.33203125" style="153" customWidth="1"/>
    <col min="26" max="27" width="18" style="153" customWidth="1"/>
    <col min="28" max="29" width="10.83203125" style="153"/>
    <col min="30" max="31" width="19.5" style="153" customWidth="1"/>
    <col min="32" max="32" width="14.83203125" style="153" customWidth="1"/>
    <col min="33" max="16384" width="10.83203125" style="153"/>
  </cols>
  <sheetData>
    <row r="1" spans="2:9" ht="9" customHeight="1"/>
    <row r="2" spans="2:9" ht="38" customHeight="1">
      <c r="B2" s="278" t="s">
        <v>10</v>
      </c>
      <c r="C2" s="278"/>
      <c r="D2" s="278"/>
      <c r="E2" s="173"/>
      <c r="F2" s="173"/>
    </row>
    <row r="3" spans="2:9" ht="18" customHeight="1">
      <c r="B3" s="174" t="s">
        <v>11</v>
      </c>
      <c r="C3" s="309" t="s">
        <v>0</v>
      </c>
      <c r="D3" s="309"/>
      <c r="E3" s="175" t="s">
        <v>12</v>
      </c>
      <c r="F3" s="310" t="s">
        <v>13</v>
      </c>
      <c r="G3" s="311"/>
      <c r="H3" s="312" t="s">
        <v>14</v>
      </c>
      <c r="I3" s="313"/>
    </row>
    <row r="4" spans="2:9" s="172" customFormat="1" ht="32" customHeight="1">
      <c r="B4" s="176" t="s">
        <v>15</v>
      </c>
      <c r="C4" s="298" t="s">
        <v>16</v>
      </c>
      <c r="D4" s="298"/>
      <c r="E4" s="177" t="s">
        <v>17</v>
      </c>
      <c r="F4" s="303" t="s">
        <v>17</v>
      </c>
      <c r="G4" s="304"/>
      <c r="H4" s="314" t="s">
        <v>17</v>
      </c>
      <c r="I4" s="314"/>
    </row>
    <row r="5" spans="2:9" s="172" customFormat="1" ht="135">
      <c r="B5" s="176" t="s">
        <v>18</v>
      </c>
      <c r="C5" s="298" t="s">
        <v>4</v>
      </c>
      <c r="D5" s="298"/>
      <c r="E5" s="178" t="s">
        <v>19</v>
      </c>
      <c r="F5" s="303" t="s">
        <v>20</v>
      </c>
      <c r="G5" s="304"/>
      <c r="H5" s="307" t="s">
        <v>21</v>
      </c>
      <c r="I5" s="307"/>
    </row>
    <row r="6" spans="2:9" s="172" customFormat="1" ht="150">
      <c r="B6" s="176" t="s">
        <v>22</v>
      </c>
      <c r="C6" s="305" t="s">
        <v>23</v>
      </c>
      <c r="D6" s="308"/>
      <c r="E6" s="178" t="s">
        <v>24</v>
      </c>
      <c r="F6" s="303" t="s">
        <v>20</v>
      </c>
      <c r="G6" s="304"/>
      <c r="H6" s="307" t="s">
        <v>369</v>
      </c>
      <c r="I6" s="307"/>
    </row>
    <row r="7" spans="2:9" s="172" customFormat="1" ht="150">
      <c r="B7" s="176" t="s">
        <v>25</v>
      </c>
      <c r="C7" s="298" t="s">
        <v>6</v>
      </c>
      <c r="D7" s="298"/>
      <c r="E7" s="178" t="s">
        <v>24</v>
      </c>
      <c r="F7" s="303" t="s">
        <v>20</v>
      </c>
      <c r="G7" s="304"/>
      <c r="H7" s="307" t="s">
        <v>369</v>
      </c>
      <c r="I7" s="307"/>
    </row>
    <row r="8" spans="2:9" s="172" customFormat="1" ht="287" customHeight="1">
      <c r="B8" s="176" t="s">
        <v>26</v>
      </c>
      <c r="C8" s="298" t="s">
        <v>27</v>
      </c>
      <c r="D8" s="298"/>
      <c r="E8" s="178" t="s">
        <v>28</v>
      </c>
      <c r="F8" s="303" t="s">
        <v>20</v>
      </c>
      <c r="G8" s="304"/>
      <c r="H8" s="307" t="s">
        <v>370</v>
      </c>
      <c r="I8" s="307"/>
    </row>
    <row r="9" spans="2:9" s="172" customFormat="1" ht="332" customHeight="1">
      <c r="B9" s="176" t="s">
        <v>26</v>
      </c>
      <c r="C9" s="305" t="s">
        <v>8</v>
      </c>
      <c r="D9" s="306"/>
      <c r="E9" s="178" t="s">
        <v>30</v>
      </c>
      <c r="F9" s="303" t="s">
        <v>17</v>
      </c>
      <c r="G9" s="304"/>
      <c r="H9" s="307" t="s">
        <v>29</v>
      </c>
      <c r="I9" s="307"/>
    </row>
    <row r="10" spans="2:9" s="172" customFormat="1" ht="45">
      <c r="B10" s="176" t="s">
        <v>26</v>
      </c>
      <c r="C10" s="298" t="s">
        <v>31</v>
      </c>
      <c r="D10" s="298"/>
      <c r="E10" s="177" t="s">
        <v>32</v>
      </c>
      <c r="F10" s="303" t="s">
        <v>17</v>
      </c>
      <c r="G10" s="304"/>
      <c r="H10" s="302"/>
      <c r="I10" s="302"/>
    </row>
    <row r="11" spans="2:9" s="172" customFormat="1" ht="19">
      <c r="B11" s="176" t="s">
        <v>26</v>
      </c>
      <c r="C11" s="298" t="s">
        <v>33</v>
      </c>
      <c r="D11" s="298"/>
      <c r="E11" s="177" t="s">
        <v>17</v>
      </c>
      <c r="F11" s="303" t="s">
        <v>17</v>
      </c>
      <c r="G11" s="304"/>
      <c r="H11" s="302"/>
      <c r="I11" s="302"/>
    </row>
    <row r="12" spans="2:9" s="172" customFormat="1" ht="122" customHeight="1">
      <c r="B12" s="176" t="s">
        <v>34</v>
      </c>
      <c r="C12" s="298" t="s">
        <v>35</v>
      </c>
      <c r="D12" s="298"/>
      <c r="E12" s="179" t="s">
        <v>36</v>
      </c>
      <c r="F12" s="303" t="s">
        <v>37</v>
      </c>
      <c r="G12" s="304"/>
      <c r="H12" s="302"/>
      <c r="I12" s="302"/>
    </row>
    <row r="13" spans="2:9" s="172" customFormat="1" ht="135" customHeight="1">
      <c r="B13" s="176" t="s">
        <v>34</v>
      </c>
      <c r="C13" s="298" t="s">
        <v>38</v>
      </c>
      <c r="D13" s="298"/>
      <c r="E13" s="299" t="s">
        <v>39</v>
      </c>
      <c r="F13" s="300"/>
      <c r="G13" s="301"/>
      <c r="H13" s="302"/>
      <c r="I13" s="302"/>
    </row>
  </sheetData>
  <mergeCells count="34">
    <mergeCell ref="B2:D2"/>
    <mergeCell ref="C3:D3"/>
    <mergeCell ref="F3:G3"/>
    <mergeCell ref="H3:I3"/>
    <mergeCell ref="C4:D4"/>
    <mergeCell ref="F4:G4"/>
    <mergeCell ref="H4:I4"/>
    <mergeCell ref="C5:D5"/>
    <mergeCell ref="F5:G5"/>
    <mergeCell ref="H5:I5"/>
    <mergeCell ref="C6:D6"/>
    <mergeCell ref="F6:G6"/>
    <mergeCell ref="H6:I6"/>
    <mergeCell ref="C7:D7"/>
    <mergeCell ref="F7:G7"/>
    <mergeCell ref="H7:I7"/>
    <mergeCell ref="C8:D8"/>
    <mergeCell ref="F8:G8"/>
    <mergeCell ref="H8:I8"/>
    <mergeCell ref="C9:D9"/>
    <mergeCell ref="F9:G9"/>
    <mergeCell ref="H9:I9"/>
    <mergeCell ref="C10:D10"/>
    <mergeCell ref="F10:G10"/>
    <mergeCell ref="H10:I10"/>
    <mergeCell ref="C13:D13"/>
    <mergeCell ref="E13:G13"/>
    <mergeCell ref="H13:I13"/>
    <mergeCell ref="C11:D11"/>
    <mergeCell ref="F11:G11"/>
    <mergeCell ref="H11:I11"/>
    <mergeCell ref="C12:D12"/>
    <mergeCell ref="F12:G12"/>
    <mergeCell ref="H12:I12"/>
  </mergeCells>
  <phoneticPr fontId="80" type="noConversion"/>
  <pageMargins left="0.25" right="0.25" top="0.75" bottom="0.75" header="0.3" footer="0.3"/>
  <pageSetup paperSize="9" scale="27"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A2:AI42"/>
  <sheetViews>
    <sheetView showGridLines="0" topLeftCell="A5" zoomScale="70" zoomScaleNormal="70" workbookViewId="0">
      <selection activeCell="A43" sqref="A43:XFD91"/>
    </sheetView>
  </sheetViews>
  <sheetFormatPr baseColWidth="10" defaultColWidth="11" defaultRowHeight="18" outlineLevelRow="1"/>
  <cols>
    <col min="1" max="1" width="2.83203125" style="55" customWidth="1"/>
    <col min="2" max="2" width="51.1640625" style="55" customWidth="1"/>
    <col min="3" max="3" width="30.5" style="55" customWidth="1"/>
    <col min="4" max="4" width="33" style="55" customWidth="1"/>
    <col min="5" max="5" width="22.6640625" style="55" customWidth="1"/>
    <col min="6" max="6" width="47.6640625" style="55" customWidth="1"/>
    <col min="7" max="7" width="21.1640625" style="55" customWidth="1"/>
    <col min="8" max="8" width="12.5" style="55" customWidth="1"/>
    <col min="9" max="9" width="20.6640625" style="55" customWidth="1"/>
    <col min="10" max="10" width="33.33203125" style="55" customWidth="1"/>
    <col min="11" max="11" width="17.5" style="55" customWidth="1"/>
    <col min="12" max="12" width="18.6640625" style="55" customWidth="1"/>
    <col min="13" max="14" width="16.5" style="55" customWidth="1"/>
    <col min="15" max="15" width="11" style="55" customWidth="1"/>
    <col min="16" max="16" width="11.5" style="55" customWidth="1"/>
    <col min="17" max="17" width="16" style="55" customWidth="1"/>
    <col min="18" max="19" width="25.1640625" style="55" customWidth="1"/>
    <col min="20" max="20" width="16.5" style="55" customWidth="1"/>
    <col min="21" max="21" width="10.33203125" style="55" customWidth="1"/>
    <col min="22" max="23" width="28" style="55" customWidth="1"/>
    <col min="24" max="24" width="16.5" style="55" customWidth="1"/>
    <col min="25" max="25" width="55.83203125" style="55" customWidth="1"/>
    <col min="26" max="27" width="24.83203125" style="55" customWidth="1"/>
    <col min="28" max="31" width="31.6640625" style="197" customWidth="1"/>
    <col min="32" max="32" width="24.5" style="55" customWidth="1"/>
    <col min="33" max="33" width="22.6640625" style="55" customWidth="1"/>
    <col min="34" max="16384" width="11" style="55"/>
  </cols>
  <sheetData>
    <row r="2" spans="2:28" ht="83" customHeight="1">
      <c r="B2" s="337" t="s">
        <v>89</v>
      </c>
      <c r="C2" s="337"/>
      <c r="D2" s="338"/>
      <c r="E2" s="338"/>
      <c r="F2" s="338"/>
      <c r="G2" s="338"/>
      <c r="H2" s="338"/>
      <c r="I2" s="338"/>
      <c r="J2" s="338"/>
      <c r="K2" s="338"/>
      <c r="L2" s="338"/>
      <c r="M2" s="338"/>
      <c r="N2" s="338"/>
      <c r="O2" s="338"/>
      <c r="P2" s="338"/>
      <c r="Q2" s="338"/>
      <c r="R2" s="338"/>
      <c r="S2" s="338"/>
      <c r="T2" s="338"/>
      <c r="U2" s="338"/>
      <c r="V2" s="338"/>
      <c r="W2" s="338"/>
      <c r="X2" s="338"/>
      <c r="Y2" s="338"/>
      <c r="Z2" s="338"/>
      <c r="AA2" s="338"/>
      <c r="AB2" s="338"/>
    </row>
    <row r="4" spans="2:28" ht="50">
      <c r="B4" s="58" t="s">
        <v>90</v>
      </c>
      <c r="C4" s="58"/>
      <c r="D4" s="132"/>
      <c r="E4" s="58"/>
      <c r="F4" s="58"/>
      <c r="G4" s="58"/>
      <c r="H4" s="58"/>
      <c r="I4" s="58"/>
      <c r="J4" s="58"/>
      <c r="K4" s="58"/>
    </row>
    <row r="5" spans="2:28" ht="34" customHeight="1" outlineLevel="1">
      <c r="B5" s="133" t="s">
        <v>91</v>
      </c>
      <c r="C5" s="133" t="s">
        <v>92</v>
      </c>
      <c r="D5" s="133" t="s">
        <v>93</v>
      </c>
      <c r="E5" s="133" t="s">
        <v>94</v>
      </c>
      <c r="F5" s="134" t="s">
        <v>95</v>
      </c>
      <c r="G5" s="132"/>
      <c r="H5" s="135" t="s">
        <v>0</v>
      </c>
      <c r="I5" s="339" t="s">
        <v>96</v>
      </c>
      <c r="J5" s="339"/>
      <c r="K5" s="339"/>
      <c r="L5" s="339"/>
    </row>
    <row r="6" spans="2:28" ht="34" customHeight="1" outlineLevel="1">
      <c r="B6" s="136" t="s">
        <v>97</v>
      </c>
      <c r="C6" s="137">
        <v>3000</v>
      </c>
      <c r="D6" s="137">
        <v>7000</v>
      </c>
      <c r="E6" s="137">
        <v>5000</v>
      </c>
      <c r="F6" s="138">
        <f>C6+D6+E6</f>
        <v>15000</v>
      </c>
      <c r="G6" s="132"/>
      <c r="H6" s="340" t="s">
        <v>4</v>
      </c>
      <c r="I6" s="341" t="s">
        <v>355</v>
      </c>
      <c r="J6" s="341"/>
      <c r="K6" s="341"/>
      <c r="L6" s="341"/>
    </row>
    <row r="7" spans="2:28" ht="34" customHeight="1" outlineLevel="1">
      <c r="B7" s="136" t="s">
        <v>98</v>
      </c>
      <c r="C7" s="137">
        <f t="shared" ref="C7:C21" si="0">C6</f>
        <v>3000</v>
      </c>
      <c r="D7" s="137">
        <v>7000</v>
      </c>
      <c r="E7" s="137">
        <f t="shared" ref="E7:E21" si="1">E6+1000</f>
        <v>6000</v>
      </c>
      <c r="F7" s="138">
        <f t="shared" ref="F7:F21" si="2">C7+D7+E7</f>
        <v>16000</v>
      </c>
      <c r="G7" s="139"/>
      <c r="H7" s="340"/>
      <c r="I7" s="341"/>
      <c r="J7" s="341"/>
      <c r="K7" s="341"/>
      <c r="L7" s="341"/>
    </row>
    <row r="8" spans="2:28" ht="34" customHeight="1" outlineLevel="1">
      <c r="B8" s="136" t="s">
        <v>99</v>
      </c>
      <c r="C8" s="137">
        <f t="shared" si="0"/>
        <v>3000</v>
      </c>
      <c r="D8" s="137">
        <v>7000</v>
      </c>
      <c r="E8" s="137">
        <f t="shared" si="1"/>
        <v>7000</v>
      </c>
      <c r="F8" s="138">
        <f t="shared" si="2"/>
        <v>17000</v>
      </c>
      <c r="G8" s="139"/>
      <c r="H8" s="340"/>
      <c r="I8" s="341"/>
      <c r="J8" s="341"/>
      <c r="K8" s="341"/>
      <c r="L8" s="341"/>
    </row>
    <row r="9" spans="2:28" ht="34" customHeight="1" outlineLevel="1">
      <c r="B9" s="136" t="s">
        <v>100</v>
      </c>
      <c r="C9" s="137">
        <f t="shared" si="0"/>
        <v>3000</v>
      </c>
      <c r="D9" s="137">
        <v>7000</v>
      </c>
      <c r="E9" s="137">
        <f t="shared" si="1"/>
        <v>8000</v>
      </c>
      <c r="F9" s="138">
        <f t="shared" si="2"/>
        <v>18000</v>
      </c>
      <c r="G9" s="139"/>
      <c r="H9" s="340"/>
      <c r="I9" s="341"/>
      <c r="J9" s="341"/>
      <c r="K9" s="341"/>
      <c r="L9" s="341"/>
    </row>
    <row r="10" spans="2:28" ht="34" customHeight="1" outlineLevel="1">
      <c r="B10" s="136" t="s">
        <v>101</v>
      </c>
      <c r="C10" s="137">
        <f t="shared" si="0"/>
        <v>3000</v>
      </c>
      <c r="D10" s="137">
        <v>7000</v>
      </c>
      <c r="E10" s="137">
        <f t="shared" si="1"/>
        <v>9000</v>
      </c>
      <c r="F10" s="138">
        <f t="shared" si="2"/>
        <v>19000</v>
      </c>
      <c r="G10" s="139"/>
      <c r="H10" s="340"/>
      <c r="I10" s="341"/>
      <c r="J10" s="341"/>
      <c r="K10" s="341"/>
      <c r="L10" s="341"/>
    </row>
    <row r="11" spans="2:28" ht="34" customHeight="1" outlineLevel="1">
      <c r="B11" s="136" t="s">
        <v>102</v>
      </c>
      <c r="C11" s="137">
        <f t="shared" si="0"/>
        <v>3000</v>
      </c>
      <c r="D11" s="137">
        <v>7000</v>
      </c>
      <c r="E11" s="137">
        <f t="shared" si="1"/>
        <v>10000</v>
      </c>
      <c r="F11" s="138">
        <f t="shared" si="2"/>
        <v>20000</v>
      </c>
      <c r="G11" s="139"/>
      <c r="H11" s="340"/>
      <c r="I11" s="341"/>
      <c r="J11" s="341"/>
      <c r="K11" s="341"/>
      <c r="L11" s="341"/>
    </row>
    <row r="12" spans="2:28" ht="34" customHeight="1" outlineLevel="1">
      <c r="B12" s="136" t="s">
        <v>103</v>
      </c>
      <c r="C12" s="137">
        <f t="shared" si="0"/>
        <v>3000</v>
      </c>
      <c r="D12" s="137">
        <v>7000</v>
      </c>
      <c r="E12" s="137">
        <f t="shared" si="1"/>
        <v>11000</v>
      </c>
      <c r="F12" s="138">
        <f t="shared" si="2"/>
        <v>21000</v>
      </c>
      <c r="G12" s="139"/>
      <c r="H12" s="340"/>
      <c r="I12" s="341"/>
      <c r="J12" s="341"/>
      <c r="K12" s="341"/>
      <c r="L12" s="341"/>
    </row>
    <row r="13" spans="2:28" ht="34" customHeight="1" outlineLevel="1">
      <c r="B13" s="136" t="s">
        <v>104</v>
      </c>
      <c r="C13" s="137">
        <f t="shared" si="0"/>
        <v>3000</v>
      </c>
      <c r="D13" s="137">
        <v>7000</v>
      </c>
      <c r="E13" s="137">
        <f t="shared" si="1"/>
        <v>12000</v>
      </c>
      <c r="F13" s="138">
        <f t="shared" si="2"/>
        <v>22000</v>
      </c>
      <c r="G13" s="139"/>
      <c r="H13" s="340"/>
      <c r="I13" s="341"/>
      <c r="J13" s="341"/>
      <c r="K13" s="341"/>
      <c r="L13" s="341"/>
    </row>
    <row r="14" spans="2:28" ht="34" customHeight="1" outlineLevel="1">
      <c r="B14" s="136" t="s">
        <v>105</v>
      </c>
      <c r="C14" s="137">
        <f t="shared" si="0"/>
        <v>3000</v>
      </c>
      <c r="D14" s="137">
        <v>7000</v>
      </c>
      <c r="E14" s="137">
        <f t="shared" si="1"/>
        <v>13000</v>
      </c>
      <c r="F14" s="138">
        <f t="shared" si="2"/>
        <v>23000</v>
      </c>
      <c r="G14" s="139"/>
      <c r="H14" s="340"/>
      <c r="I14" s="341"/>
      <c r="J14" s="341"/>
      <c r="K14" s="341"/>
      <c r="L14" s="341"/>
    </row>
    <row r="15" spans="2:28" ht="34" customHeight="1" outlineLevel="1">
      <c r="B15" s="136" t="s">
        <v>106</v>
      </c>
      <c r="C15" s="137">
        <f t="shared" si="0"/>
        <v>3000</v>
      </c>
      <c r="D15" s="137">
        <v>7000</v>
      </c>
      <c r="E15" s="137">
        <f t="shared" si="1"/>
        <v>14000</v>
      </c>
      <c r="F15" s="138">
        <f t="shared" si="2"/>
        <v>24000</v>
      </c>
      <c r="G15" s="139"/>
      <c r="H15" s="340"/>
      <c r="I15" s="341"/>
      <c r="J15" s="341"/>
      <c r="K15" s="341"/>
      <c r="L15" s="341"/>
    </row>
    <row r="16" spans="2:28" ht="34" customHeight="1" outlineLevel="1">
      <c r="B16" s="136" t="s">
        <v>107</v>
      </c>
      <c r="C16" s="137">
        <f t="shared" si="0"/>
        <v>3000</v>
      </c>
      <c r="D16" s="137">
        <v>7000</v>
      </c>
      <c r="E16" s="137">
        <f t="shared" si="1"/>
        <v>15000</v>
      </c>
      <c r="F16" s="138">
        <f t="shared" si="2"/>
        <v>25000</v>
      </c>
      <c r="G16" s="139"/>
      <c r="H16" s="340"/>
      <c r="I16" s="341"/>
      <c r="J16" s="341"/>
      <c r="K16" s="341"/>
      <c r="L16" s="341"/>
    </row>
    <row r="17" spans="1:35" ht="34" customHeight="1" outlineLevel="1">
      <c r="B17" s="136" t="s">
        <v>108</v>
      </c>
      <c r="C17" s="137">
        <f t="shared" si="0"/>
        <v>3000</v>
      </c>
      <c r="D17" s="137">
        <v>7000</v>
      </c>
      <c r="E17" s="137">
        <f t="shared" si="1"/>
        <v>16000</v>
      </c>
      <c r="F17" s="138">
        <f t="shared" si="2"/>
        <v>26000</v>
      </c>
      <c r="G17" s="139"/>
      <c r="H17" s="340"/>
      <c r="I17" s="341"/>
      <c r="J17" s="341"/>
      <c r="K17" s="341"/>
      <c r="L17" s="341"/>
    </row>
    <row r="18" spans="1:35" ht="34" customHeight="1" outlineLevel="1">
      <c r="B18" s="136" t="s">
        <v>109</v>
      </c>
      <c r="C18" s="137">
        <f t="shared" si="0"/>
        <v>3000</v>
      </c>
      <c r="D18" s="137">
        <v>7000</v>
      </c>
      <c r="E18" s="137">
        <f t="shared" si="1"/>
        <v>17000</v>
      </c>
      <c r="F18" s="138">
        <f t="shared" si="2"/>
        <v>27000</v>
      </c>
      <c r="G18" s="139"/>
      <c r="H18" s="340"/>
      <c r="I18" s="341"/>
      <c r="J18" s="341"/>
      <c r="K18" s="341"/>
      <c r="L18" s="341"/>
    </row>
    <row r="19" spans="1:35" ht="34" customHeight="1" outlineLevel="1">
      <c r="B19" s="136" t="s">
        <v>110</v>
      </c>
      <c r="C19" s="137">
        <f t="shared" si="0"/>
        <v>3000</v>
      </c>
      <c r="D19" s="137">
        <v>7000</v>
      </c>
      <c r="E19" s="137">
        <f t="shared" si="1"/>
        <v>18000</v>
      </c>
      <c r="F19" s="138">
        <f t="shared" si="2"/>
        <v>28000</v>
      </c>
      <c r="G19" s="139"/>
      <c r="H19" s="340"/>
      <c r="I19" s="341"/>
      <c r="J19" s="341"/>
      <c r="K19" s="341"/>
      <c r="L19" s="341"/>
    </row>
    <row r="20" spans="1:35" ht="34" customHeight="1" outlineLevel="1">
      <c r="B20" s="136" t="s">
        <v>111</v>
      </c>
      <c r="C20" s="137">
        <f t="shared" si="0"/>
        <v>3000</v>
      </c>
      <c r="D20" s="137">
        <v>7000</v>
      </c>
      <c r="E20" s="137">
        <f t="shared" si="1"/>
        <v>19000</v>
      </c>
      <c r="F20" s="138">
        <f t="shared" si="2"/>
        <v>29000</v>
      </c>
      <c r="G20" s="139"/>
      <c r="H20" s="340"/>
      <c r="I20" s="341"/>
      <c r="J20" s="341"/>
      <c r="K20" s="341"/>
      <c r="L20" s="341"/>
    </row>
    <row r="21" spans="1:35" ht="34" customHeight="1" outlineLevel="1" thickBot="1">
      <c r="B21" s="140" t="s">
        <v>112</v>
      </c>
      <c r="C21" s="141">
        <f t="shared" si="0"/>
        <v>3000</v>
      </c>
      <c r="D21" s="141">
        <v>7000</v>
      </c>
      <c r="E21" s="141">
        <f t="shared" si="1"/>
        <v>20000</v>
      </c>
      <c r="F21" s="142">
        <f t="shared" si="2"/>
        <v>30000</v>
      </c>
      <c r="G21" s="139"/>
      <c r="H21" s="340"/>
      <c r="I21" s="341"/>
      <c r="J21" s="341"/>
      <c r="K21" s="341"/>
      <c r="L21" s="341"/>
    </row>
    <row r="23" spans="1:35" ht="50">
      <c r="B23" s="58" t="s">
        <v>113</v>
      </c>
      <c r="C23" s="58"/>
    </row>
    <row r="24" spans="1:35" ht="18" customHeight="1">
      <c r="B24" s="129"/>
      <c r="C24" s="129"/>
      <c r="D24" s="129"/>
      <c r="E24" s="129"/>
      <c r="F24" s="129"/>
      <c r="G24" s="129"/>
      <c r="H24" s="129"/>
      <c r="I24" s="129"/>
      <c r="J24" s="129"/>
      <c r="K24" s="129"/>
      <c r="L24" s="129"/>
      <c r="M24" s="129"/>
      <c r="N24" s="129"/>
      <c r="O24" s="129"/>
      <c r="P24" s="129"/>
      <c r="Q24" s="129"/>
      <c r="R24" s="129"/>
      <c r="S24" s="129"/>
      <c r="T24" s="129"/>
      <c r="U24" s="129"/>
      <c r="V24" s="129"/>
      <c r="W24" s="129"/>
      <c r="X24" s="129"/>
      <c r="Y24" s="129"/>
      <c r="Z24" s="129"/>
      <c r="AA24" s="127"/>
      <c r="AF24" s="219"/>
      <c r="AG24" s="219"/>
      <c r="AH24" s="219"/>
      <c r="AI24" s="219"/>
    </row>
    <row r="25" spans="1:35" ht="39" customHeight="1" thickBot="1">
      <c r="A25" s="143"/>
      <c r="B25" s="144" t="s">
        <v>342</v>
      </c>
      <c r="C25" s="144"/>
      <c r="D25" s="143"/>
      <c r="E25" s="143"/>
      <c r="F25" s="143"/>
      <c r="G25" s="143"/>
      <c r="H25" s="143"/>
      <c r="I25" s="143"/>
      <c r="J25" s="143"/>
      <c r="K25" s="143"/>
      <c r="L25" s="143"/>
      <c r="M25" s="143"/>
      <c r="N25" s="143"/>
      <c r="O25" s="143"/>
      <c r="P25" s="143"/>
      <c r="Q25" s="143"/>
      <c r="R25" s="143"/>
      <c r="S25" s="143"/>
      <c r="T25" s="143"/>
      <c r="U25" s="143"/>
      <c r="V25" s="143"/>
      <c r="W25" s="143"/>
      <c r="X25" s="143"/>
      <c r="Y25" s="143"/>
      <c r="Z25" s="143"/>
      <c r="AF25" s="219"/>
      <c r="AG25" s="219"/>
      <c r="AH25" s="219"/>
      <c r="AI25" s="219"/>
    </row>
    <row r="26" spans="1:35" ht="33" customHeight="1" thickBot="1">
      <c r="B26" s="363" t="s">
        <v>442</v>
      </c>
      <c r="C26" s="364"/>
      <c r="D26" s="364"/>
      <c r="E26" s="364"/>
      <c r="F26" s="364"/>
      <c r="G26" s="364"/>
      <c r="H26" s="364"/>
      <c r="I26" s="364"/>
      <c r="J26" s="364"/>
      <c r="K26" s="364"/>
      <c r="L26" s="364"/>
      <c r="M26" s="364"/>
      <c r="N26" s="364"/>
      <c r="O26" s="364"/>
      <c r="P26" s="364"/>
      <c r="Q26" s="364"/>
      <c r="R26" s="364"/>
      <c r="S26" s="364"/>
      <c r="T26" s="364"/>
      <c r="U26" s="364"/>
      <c r="V26" s="364"/>
      <c r="W26" s="364"/>
      <c r="X26" s="364"/>
      <c r="Y26" s="364"/>
      <c r="Z26" s="365"/>
      <c r="AF26" s="219"/>
      <c r="AG26" s="219"/>
      <c r="AH26" s="219"/>
      <c r="AI26" s="219"/>
    </row>
    <row r="27" spans="1:35" ht="19" customHeight="1">
      <c r="B27" s="113"/>
      <c r="C27" s="115"/>
      <c r="D27" s="145"/>
      <c r="E27" s="145"/>
      <c r="F27" s="145"/>
      <c r="G27" s="145"/>
      <c r="H27" s="145"/>
      <c r="I27" s="216"/>
      <c r="J27" s="216"/>
      <c r="K27" s="216"/>
      <c r="L27" s="216"/>
      <c r="M27" s="216"/>
      <c r="N27" s="216"/>
      <c r="O27" s="145"/>
      <c r="P27" s="217"/>
      <c r="Q27" s="217"/>
      <c r="R27" s="217"/>
      <c r="S27" s="217"/>
      <c r="T27" s="217"/>
      <c r="U27" s="145"/>
      <c r="V27" s="217"/>
      <c r="W27" s="217"/>
      <c r="X27" s="186"/>
      <c r="AB27" s="55"/>
      <c r="AC27" s="55"/>
      <c r="AF27" s="219"/>
      <c r="AG27" s="219"/>
      <c r="AH27" s="219"/>
      <c r="AI27" s="219"/>
    </row>
    <row r="28" spans="1:35" ht="31" customHeight="1">
      <c r="B28" s="366" t="s">
        <v>1</v>
      </c>
      <c r="C28" s="367"/>
      <c r="D28" s="367"/>
      <c r="E28" s="367"/>
      <c r="F28" s="367"/>
      <c r="G28" s="368"/>
      <c r="H28" s="187"/>
      <c r="I28" s="369" t="s">
        <v>5</v>
      </c>
      <c r="J28" s="370"/>
      <c r="K28" s="370"/>
      <c r="L28" s="370"/>
      <c r="M28" s="370"/>
      <c r="N28" s="371"/>
      <c r="O28" s="86"/>
      <c r="P28" s="377" t="s">
        <v>394</v>
      </c>
      <c r="Q28" s="378"/>
      <c r="R28" s="378"/>
      <c r="S28" s="378"/>
      <c r="T28" s="379"/>
      <c r="U28" s="86"/>
      <c r="V28" s="383" t="s">
        <v>357</v>
      </c>
      <c r="W28" s="384"/>
      <c r="X28" s="116"/>
      <c r="Y28" s="375" t="s">
        <v>395</v>
      </c>
      <c r="Z28" s="116"/>
      <c r="AB28" s="55"/>
      <c r="AC28" s="55"/>
      <c r="AF28" s="219"/>
      <c r="AG28" s="219"/>
      <c r="AH28" s="219"/>
      <c r="AI28" s="219"/>
    </row>
    <row r="29" spans="1:35" ht="32" customHeight="1">
      <c r="B29" s="188" t="s">
        <v>80</v>
      </c>
      <c r="C29" s="387" t="s">
        <v>2</v>
      </c>
      <c r="D29" s="368"/>
      <c r="E29" s="377" t="s">
        <v>3</v>
      </c>
      <c r="F29" s="378"/>
      <c r="G29" s="379"/>
      <c r="I29" s="369" t="s">
        <v>81</v>
      </c>
      <c r="J29" s="371"/>
      <c r="K29" s="369" t="s">
        <v>82</v>
      </c>
      <c r="L29" s="370"/>
      <c r="M29" s="370"/>
      <c r="N29" s="371"/>
      <c r="O29" s="86"/>
      <c r="P29" s="380"/>
      <c r="Q29" s="381"/>
      <c r="R29" s="381"/>
      <c r="S29" s="381"/>
      <c r="T29" s="382"/>
      <c r="U29" s="86"/>
      <c r="V29" s="385"/>
      <c r="W29" s="386"/>
      <c r="X29" s="116"/>
      <c r="Y29" s="376"/>
      <c r="Z29" s="191"/>
      <c r="AB29" s="55"/>
      <c r="AC29" s="55"/>
      <c r="AF29" s="219"/>
      <c r="AG29" s="219"/>
      <c r="AH29" s="219"/>
      <c r="AI29" s="219"/>
    </row>
    <row r="30" spans="1:35" ht="35" customHeight="1">
      <c r="B30" s="348" t="s">
        <v>391</v>
      </c>
      <c r="C30" s="121" t="s">
        <v>83</v>
      </c>
      <c r="D30" s="121" t="s">
        <v>84</v>
      </c>
      <c r="E30" s="380"/>
      <c r="F30" s="381"/>
      <c r="G30" s="382"/>
      <c r="I30" s="78" t="s">
        <v>83</v>
      </c>
      <c r="J30" s="78" t="s">
        <v>85</v>
      </c>
      <c r="K30" s="122" t="s">
        <v>115</v>
      </c>
      <c r="L30" s="122" t="s">
        <v>116</v>
      </c>
      <c r="M30" s="122" t="s">
        <v>117</v>
      </c>
      <c r="N30" s="122" t="s">
        <v>118</v>
      </c>
      <c r="O30" s="131"/>
      <c r="P30" s="77" t="s">
        <v>119</v>
      </c>
      <c r="Q30" s="77" t="s">
        <v>85</v>
      </c>
      <c r="R30" s="53" t="s">
        <v>78</v>
      </c>
      <c r="S30" s="53" t="s">
        <v>120</v>
      </c>
      <c r="T30" s="53" t="s">
        <v>121</v>
      </c>
      <c r="U30" s="131"/>
      <c r="V30" s="77" t="s">
        <v>78</v>
      </c>
      <c r="W30" s="77" t="s">
        <v>121</v>
      </c>
      <c r="X30" s="146"/>
      <c r="Y30" s="372" t="s">
        <v>457</v>
      </c>
      <c r="Z30" s="89"/>
      <c r="AA30" s="146"/>
      <c r="AB30" s="55"/>
      <c r="AC30" s="55"/>
      <c r="AF30" s="219"/>
      <c r="AG30" s="219"/>
      <c r="AH30" s="219"/>
      <c r="AI30" s="219"/>
    </row>
    <row r="31" spans="1:35" ht="25" customHeight="1">
      <c r="B31" s="349"/>
      <c r="C31" s="330" t="s">
        <v>447</v>
      </c>
      <c r="D31" s="332">
        <v>0</v>
      </c>
      <c r="E31" s="318" t="s">
        <v>383</v>
      </c>
      <c r="F31" s="351"/>
      <c r="G31" s="319"/>
      <c r="I31" s="334">
        <v>0.8</v>
      </c>
      <c r="J31" s="388" t="s">
        <v>86</v>
      </c>
      <c r="K31" s="342">
        <v>1</v>
      </c>
      <c r="L31" s="345">
        <v>1.2</v>
      </c>
      <c r="M31" s="345">
        <v>1.5</v>
      </c>
      <c r="N31" s="345">
        <v>2</v>
      </c>
      <c r="O31" s="189"/>
      <c r="P31" s="327" t="s">
        <v>122</v>
      </c>
      <c r="Q31" s="327" t="s">
        <v>123</v>
      </c>
      <c r="R31" s="13">
        <v>1</v>
      </c>
      <c r="S31" s="13">
        <v>10</v>
      </c>
      <c r="T31" s="13" t="s">
        <v>124</v>
      </c>
      <c r="U31" s="90"/>
      <c r="V31" s="81" t="s">
        <v>125</v>
      </c>
      <c r="W31" s="81">
        <v>13000</v>
      </c>
      <c r="X31" s="124"/>
      <c r="Y31" s="373"/>
      <c r="Z31" s="89"/>
      <c r="AA31" s="90"/>
      <c r="AB31" s="55"/>
      <c r="AC31" s="55"/>
      <c r="AF31" s="219"/>
      <c r="AG31" s="219"/>
      <c r="AH31" s="219"/>
      <c r="AI31" s="219"/>
    </row>
    <row r="32" spans="1:35" ht="25" customHeight="1">
      <c r="B32" s="349"/>
      <c r="C32" s="331"/>
      <c r="D32" s="333"/>
      <c r="E32" s="320"/>
      <c r="F32" s="352"/>
      <c r="G32" s="321"/>
      <c r="I32" s="335"/>
      <c r="J32" s="389"/>
      <c r="K32" s="343"/>
      <c r="L32" s="346"/>
      <c r="M32" s="346"/>
      <c r="N32" s="346"/>
      <c r="O32" s="189"/>
      <c r="P32" s="328"/>
      <c r="Q32" s="328"/>
      <c r="R32" s="13">
        <v>2</v>
      </c>
      <c r="S32" s="13">
        <v>8</v>
      </c>
      <c r="T32" s="13" t="s">
        <v>126</v>
      </c>
      <c r="U32" s="90"/>
      <c r="V32" s="81" t="s">
        <v>127</v>
      </c>
      <c r="W32" s="81">
        <v>11000</v>
      </c>
      <c r="X32" s="124"/>
      <c r="Y32" s="373"/>
      <c r="Z32" s="89"/>
      <c r="AA32" s="90"/>
      <c r="AB32" s="55"/>
      <c r="AC32" s="55"/>
      <c r="AF32" s="219"/>
      <c r="AG32" s="219"/>
      <c r="AH32" s="219"/>
      <c r="AI32" s="219"/>
    </row>
    <row r="33" spans="2:35" ht="25" customHeight="1">
      <c r="B33" s="349"/>
      <c r="C33" s="180" t="s">
        <v>75</v>
      </c>
      <c r="D33" s="181">
        <v>0.25</v>
      </c>
      <c r="E33" s="320"/>
      <c r="F33" s="352"/>
      <c r="G33" s="321"/>
      <c r="I33" s="336"/>
      <c r="J33" s="390"/>
      <c r="K33" s="344"/>
      <c r="L33" s="347"/>
      <c r="M33" s="347"/>
      <c r="N33" s="347"/>
      <c r="O33" s="189"/>
      <c r="P33" s="328"/>
      <c r="Q33" s="328"/>
      <c r="R33" s="13">
        <v>3</v>
      </c>
      <c r="S33" s="13">
        <v>6</v>
      </c>
      <c r="T33" s="13" t="s">
        <v>128</v>
      </c>
      <c r="U33" s="90"/>
      <c r="V33" s="81" t="s">
        <v>129</v>
      </c>
      <c r="W33" s="81">
        <v>9000</v>
      </c>
      <c r="X33" s="124"/>
      <c r="Y33" s="373"/>
      <c r="Z33" s="89"/>
      <c r="AA33" s="90"/>
      <c r="AB33" s="55"/>
      <c r="AC33" s="55"/>
      <c r="AF33" s="219"/>
      <c r="AG33" s="219"/>
      <c r="AH33" s="219"/>
      <c r="AI33" s="219"/>
    </row>
    <row r="34" spans="2:35" ht="25" customHeight="1">
      <c r="B34" s="349"/>
      <c r="C34" s="180" t="s">
        <v>76</v>
      </c>
      <c r="D34" s="181">
        <v>0.5</v>
      </c>
      <c r="E34" s="320"/>
      <c r="F34" s="352"/>
      <c r="G34" s="321"/>
      <c r="I34" s="82">
        <v>0.9</v>
      </c>
      <c r="J34" s="83" t="s">
        <v>87</v>
      </c>
      <c r="K34" s="84">
        <v>1</v>
      </c>
      <c r="L34" s="85">
        <v>1.2</v>
      </c>
      <c r="M34" s="85">
        <v>1.5</v>
      </c>
      <c r="N34" s="85">
        <v>2</v>
      </c>
      <c r="O34" s="189"/>
      <c r="P34" s="328"/>
      <c r="Q34" s="328"/>
      <c r="R34" s="13">
        <v>4</v>
      </c>
      <c r="S34" s="13">
        <v>4</v>
      </c>
      <c r="T34" s="13" t="s">
        <v>130</v>
      </c>
      <c r="U34" s="90"/>
      <c r="V34" s="81" t="s">
        <v>131</v>
      </c>
      <c r="W34" s="81">
        <v>7000</v>
      </c>
      <c r="X34" s="124"/>
      <c r="Y34" s="373"/>
      <c r="Z34" s="89"/>
      <c r="AA34" s="90"/>
      <c r="AB34" s="55"/>
      <c r="AC34" s="55"/>
      <c r="AF34" s="219"/>
      <c r="AG34" s="219"/>
      <c r="AH34" s="219"/>
      <c r="AI34" s="219"/>
    </row>
    <row r="35" spans="2:35" ht="25" customHeight="1">
      <c r="B35" s="349"/>
      <c r="C35" s="318" t="s">
        <v>382</v>
      </c>
      <c r="D35" s="319"/>
      <c r="E35" s="320"/>
      <c r="F35" s="352"/>
      <c r="G35" s="321"/>
      <c r="I35" s="82">
        <v>1</v>
      </c>
      <c r="J35" s="83" t="s">
        <v>88</v>
      </c>
      <c r="K35" s="84">
        <v>1</v>
      </c>
      <c r="L35" s="85">
        <v>1.2</v>
      </c>
      <c r="M35" s="85">
        <v>1.5</v>
      </c>
      <c r="N35" s="85">
        <v>2</v>
      </c>
      <c r="O35" s="189"/>
      <c r="P35" s="328"/>
      <c r="Q35" s="328"/>
      <c r="R35" s="13">
        <v>5</v>
      </c>
      <c r="S35" s="13">
        <v>2</v>
      </c>
      <c r="T35" s="13" t="s">
        <v>132</v>
      </c>
      <c r="U35" s="90"/>
      <c r="V35" s="81" t="s">
        <v>133</v>
      </c>
      <c r="W35" s="81">
        <v>5000</v>
      </c>
      <c r="X35" s="127"/>
      <c r="Y35" s="373"/>
      <c r="Z35" s="89"/>
      <c r="AA35" s="127"/>
      <c r="AB35" s="55"/>
      <c r="AC35" s="55"/>
      <c r="AF35" s="219"/>
      <c r="AG35" s="219"/>
      <c r="AH35" s="219"/>
      <c r="AI35" s="219"/>
    </row>
    <row r="36" spans="2:35" ht="25" customHeight="1">
      <c r="B36" s="349"/>
      <c r="C36" s="320"/>
      <c r="D36" s="321"/>
      <c r="E36" s="320"/>
      <c r="F36" s="352"/>
      <c r="G36" s="321"/>
      <c r="I36" s="354" t="s">
        <v>384</v>
      </c>
      <c r="J36" s="355"/>
      <c r="K36" s="355"/>
      <c r="L36" s="355"/>
      <c r="M36" s="355"/>
      <c r="N36" s="356"/>
      <c r="O36" s="147"/>
      <c r="P36" s="328"/>
      <c r="Q36" s="328"/>
      <c r="R36" s="13">
        <v>6</v>
      </c>
      <c r="S36" s="13">
        <v>1</v>
      </c>
      <c r="T36" s="13" t="s">
        <v>134</v>
      </c>
      <c r="U36" s="147"/>
      <c r="V36" s="318" t="s">
        <v>460</v>
      </c>
      <c r="W36" s="319"/>
      <c r="X36" s="127"/>
      <c r="Y36" s="373"/>
      <c r="Z36" s="89"/>
      <c r="AA36" s="127"/>
      <c r="AB36" s="55"/>
      <c r="AC36" s="55"/>
      <c r="AF36" s="219"/>
      <c r="AG36" s="219"/>
      <c r="AH36" s="219"/>
      <c r="AI36" s="219"/>
    </row>
    <row r="37" spans="2:35" ht="25" customHeight="1">
      <c r="B37" s="349"/>
      <c r="C37" s="320"/>
      <c r="D37" s="321"/>
      <c r="E37" s="320"/>
      <c r="F37" s="352"/>
      <c r="G37" s="321"/>
      <c r="I37" s="357"/>
      <c r="J37" s="358"/>
      <c r="K37" s="358"/>
      <c r="L37" s="358"/>
      <c r="M37" s="358"/>
      <c r="N37" s="359"/>
      <c r="O37" s="147"/>
      <c r="P37" s="328"/>
      <c r="Q37" s="328"/>
      <c r="R37" s="13">
        <v>7</v>
      </c>
      <c r="S37" s="13">
        <v>0</v>
      </c>
      <c r="T37" s="13">
        <v>0</v>
      </c>
      <c r="U37" s="147"/>
      <c r="V37" s="320"/>
      <c r="W37" s="321"/>
      <c r="X37" s="127"/>
      <c r="Y37" s="373"/>
      <c r="Z37" s="89"/>
      <c r="AA37" s="127"/>
      <c r="AB37" s="55"/>
      <c r="AC37" s="55"/>
      <c r="AF37" s="219"/>
      <c r="AG37" s="219"/>
      <c r="AH37" s="219"/>
      <c r="AI37" s="219"/>
    </row>
    <row r="38" spans="2:35" ht="25" customHeight="1">
      <c r="B38" s="349"/>
      <c r="C38" s="320"/>
      <c r="D38" s="321"/>
      <c r="E38" s="320"/>
      <c r="F38" s="352"/>
      <c r="G38" s="321"/>
      <c r="I38" s="357"/>
      <c r="J38" s="358"/>
      <c r="K38" s="358"/>
      <c r="L38" s="358"/>
      <c r="M38" s="358"/>
      <c r="N38" s="359"/>
      <c r="O38" s="147"/>
      <c r="P38" s="329"/>
      <c r="Q38" s="329"/>
      <c r="R38" s="13">
        <v>8</v>
      </c>
      <c r="S38" s="13">
        <v>0</v>
      </c>
      <c r="T38" s="13">
        <v>0</v>
      </c>
      <c r="U38" s="147"/>
      <c r="V38" s="320"/>
      <c r="W38" s="321"/>
      <c r="X38" s="127"/>
      <c r="Y38" s="373"/>
      <c r="Z38" s="89"/>
      <c r="AA38" s="127"/>
      <c r="AB38" s="55"/>
      <c r="AC38" s="55"/>
      <c r="AF38" s="219"/>
      <c r="AG38" s="219"/>
      <c r="AH38" s="219"/>
      <c r="AI38" s="219"/>
    </row>
    <row r="39" spans="2:35" ht="281" customHeight="1">
      <c r="B39" s="350"/>
      <c r="C39" s="322"/>
      <c r="D39" s="323"/>
      <c r="E39" s="322"/>
      <c r="F39" s="353"/>
      <c r="G39" s="323"/>
      <c r="I39" s="360"/>
      <c r="J39" s="361"/>
      <c r="K39" s="361"/>
      <c r="L39" s="361"/>
      <c r="M39" s="361"/>
      <c r="N39" s="362"/>
      <c r="O39" s="147"/>
      <c r="P39" s="324" t="s">
        <v>448</v>
      </c>
      <c r="Q39" s="325"/>
      <c r="R39" s="325"/>
      <c r="S39" s="325"/>
      <c r="T39" s="326"/>
      <c r="U39" s="147"/>
      <c r="V39" s="322"/>
      <c r="W39" s="323"/>
      <c r="X39" s="127"/>
      <c r="Y39" s="374"/>
      <c r="Z39" s="89"/>
      <c r="AA39" s="127"/>
      <c r="AB39" s="55"/>
      <c r="AC39" s="55"/>
      <c r="AF39" s="219"/>
      <c r="AG39" s="219"/>
      <c r="AH39" s="219"/>
      <c r="AI39" s="219"/>
    </row>
    <row r="40" spans="2:35" ht="130" customHeight="1" thickBot="1">
      <c r="B40" s="315" t="s">
        <v>377</v>
      </c>
      <c r="C40" s="316"/>
      <c r="D40" s="316"/>
      <c r="E40" s="316"/>
      <c r="F40" s="316"/>
      <c r="G40" s="316"/>
      <c r="H40" s="316"/>
      <c r="I40" s="316"/>
      <c r="J40" s="316"/>
      <c r="K40" s="316"/>
      <c r="L40" s="316"/>
      <c r="M40" s="316"/>
      <c r="N40" s="316"/>
      <c r="O40" s="316"/>
      <c r="P40" s="316"/>
      <c r="Q40" s="316"/>
      <c r="R40" s="316"/>
      <c r="S40" s="316"/>
      <c r="T40" s="316"/>
      <c r="U40" s="316"/>
      <c r="V40" s="316"/>
      <c r="W40" s="316"/>
      <c r="X40" s="316"/>
      <c r="Y40" s="316"/>
      <c r="Z40" s="317"/>
      <c r="AA40" s="127"/>
    </row>
    <row r="41" spans="2:35">
      <c r="B41" s="129"/>
      <c r="C41" s="129"/>
      <c r="D41" s="129"/>
      <c r="E41" s="129"/>
      <c r="F41" s="129"/>
      <c r="G41" s="129"/>
      <c r="H41" s="129"/>
      <c r="I41" s="129"/>
      <c r="J41" s="129"/>
      <c r="K41" s="129"/>
      <c r="L41" s="129"/>
      <c r="M41" s="129"/>
      <c r="N41" s="129"/>
      <c r="O41" s="129"/>
      <c r="P41" s="129"/>
      <c r="Q41" s="129"/>
      <c r="R41" s="129"/>
      <c r="S41" s="129"/>
      <c r="T41" s="129"/>
      <c r="U41" s="129"/>
      <c r="V41" s="129"/>
      <c r="W41" s="129"/>
      <c r="X41" s="129"/>
      <c r="Y41" s="129"/>
      <c r="Z41" s="129"/>
      <c r="AA41" s="127"/>
    </row>
    <row r="42" spans="2:35">
      <c r="B42" s="129"/>
      <c r="C42" s="129"/>
      <c r="D42" s="129"/>
      <c r="E42" s="129"/>
      <c r="F42" s="129"/>
      <c r="G42" s="129"/>
      <c r="H42" s="129"/>
      <c r="I42" s="129"/>
      <c r="J42" s="129"/>
      <c r="K42" s="129"/>
      <c r="L42" s="129"/>
      <c r="M42" s="129"/>
      <c r="N42" s="129"/>
      <c r="O42" s="129"/>
      <c r="P42" s="129"/>
      <c r="Q42" s="129"/>
      <c r="R42" s="129"/>
      <c r="S42" s="129"/>
      <c r="T42" s="129"/>
      <c r="U42" s="129"/>
      <c r="V42" s="129"/>
      <c r="W42" s="129"/>
      <c r="X42" s="129"/>
      <c r="Y42" s="129"/>
      <c r="Z42" s="129"/>
      <c r="AA42" s="129"/>
      <c r="AB42" s="129"/>
      <c r="AC42" s="129"/>
    </row>
  </sheetData>
  <mergeCells count="32">
    <mergeCell ref="Y28:Y29"/>
    <mergeCell ref="P28:T29"/>
    <mergeCell ref="V28:W29"/>
    <mergeCell ref="C29:D29"/>
    <mergeCell ref="E29:G30"/>
    <mergeCell ref="I29:J29"/>
    <mergeCell ref="K29:N29"/>
    <mergeCell ref="B2:AB2"/>
    <mergeCell ref="I5:L5"/>
    <mergeCell ref="H6:H21"/>
    <mergeCell ref="I6:L21"/>
    <mergeCell ref="K31:K33"/>
    <mergeCell ref="L31:L33"/>
    <mergeCell ref="M31:M33"/>
    <mergeCell ref="N31:N33"/>
    <mergeCell ref="B30:B39"/>
    <mergeCell ref="E31:G39"/>
    <mergeCell ref="C35:D39"/>
    <mergeCell ref="I36:N39"/>
    <mergeCell ref="B26:Z26"/>
    <mergeCell ref="B28:G28"/>
    <mergeCell ref="I28:N28"/>
    <mergeCell ref="Y30:Y39"/>
    <mergeCell ref="B40:Z40"/>
    <mergeCell ref="V36:W39"/>
    <mergeCell ref="P39:T39"/>
    <mergeCell ref="P31:P38"/>
    <mergeCell ref="Q31:Q38"/>
    <mergeCell ref="C31:C32"/>
    <mergeCell ref="D31:D32"/>
    <mergeCell ref="I31:I33"/>
    <mergeCell ref="J31:J33"/>
  </mergeCells>
  <phoneticPr fontId="80"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sheetPr>
  <dimension ref="B2:AF58"/>
  <sheetViews>
    <sheetView showGridLines="0" topLeftCell="B27" zoomScale="90" zoomScaleNormal="90" workbookViewId="0">
      <selection activeCell="A51" sqref="A51:XFD84"/>
    </sheetView>
  </sheetViews>
  <sheetFormatPr baseColWidth="10" defaultColWidth="11" defaultRowHeight="18" outlineLevelRow="1"/>
  <cols>
    <col min="1" max="1" width="2.83203125" style="55" customWidth="1"/>
    <col min="2" max="2" width="43.33203125" style="55" customWidth="1"/>
    <col min="3" max="3" width="15.33203125" style="55" customWidth="1"/>
    <col min="4" max="4" width="21.1640625" style="55" customWidth="1"/>
    <col min="5" max="5" width="32" style="55" customWidth="1"/>
    <col min="6" max="6" width="20.83203125" style="55" customWidth="1"/>
    <col min="7" max="7" width="30.83203125" style="55" customWidth="1"/>
    <col min="8" max="8" width="20.33203125" style="55" customWidth="1"/>
    <col min="9" max="9" width="30" style="55" customWidth="1"/>
    <col min="10" max="10" width="44" style="55" customWidth="1"/>
    <col min="11" max="11" width="17.5" style="55" customWidth="1"/>
    <col min="12" max="12" width="18.6640625" style="55" customWidth="1"/>
    <col min="13" max="14" width="16.5" style="55" customWidth="1"/>
    <col min="15" max="15" width="17.83203125" style="55" customWidth="1"/>
    <col min="16" max="16" width="10.83203125" style="55" customWidth="1"/>
    <col min="17" max="17" width="22.5" style="55" customWidth="1"/>
    <col min="18" max="18" width="27.5" style="55" customWidth="1"/>
    <col min="19" max="19" width="16.6640625" style="55" customWidth="1"/>
    <col min="20" max="20" width="34.83203125" style="55" customWidth="1"/>
    <col min="21" max="21" width="25.83203125" style="55" customWidth="1"/>
    <col min="22" max="22" width="18.5" style="55" customWidth="1"/>
    <col min="23" max="23" width="12.6640625" style="55" customWidth="1"/>
    <col min="24" max="24" width="53.5" style="55" customWidth="1"/>
    <col min="25" max="26" width="14.1640625" style="55" customWidth="1"/>
    <col min="27" max="27" width="14.6640625" style="55" customWidth="1"/>
    <col min="28" max="28" width="17.5" style="55" customWidth="1"/>
    <col min="29" max="29" width="17.33203125" style="55" customWidth="1"/>
    <col min="30" max="30" width="66.6640625" style="55" customWidth="1"/>
    <col min="31" max="31" width="21.6640625" style="55" customWidth="1"/>
    <col min="32" max="32" width="22" style="55" customWidth="1"/>
    <col min="33" max="33" width="16.6640625" style="55" customWidth="1"/>
    <col min="34" max="16384" width="11" style="55"/>
  </cols>
  <sheetData>
    <row r="2" spans="2:28" s="54" customFormat="1" ht="77" customHeight="1">
      <c r="B2" s="391" t="s">
        <v>136</v>
      </c>
      <c r="C2" s="392"/>
      <c r="D2" s="392"/>
      <c r="E2" s="392"/>
      <c r="F2" s="392"/>
      <c r="G2" s="392"/>
      <c r="H2" s="392"/>
      <c r="I2" s="392"/>
      <c r="J2" s="392"/>
      <c r="K2" s="392"/>
      <c r="L2" s="392"/>
      <c r="M2" s="392"/>
      <c r="N2" s="392"/>
      <c r="O2" s="392"/>
      <c r="P2" s="392"/>
      <c r="Q2" s="392"/>
      <c r="R2" s="392"/>
      <c r="S2" s="392"/>
      <c r="T2" s="392"/>
      <c r="U2" s="392"/>
      <c r="V2" s="392"/>
      <c r="W2" s="392"/>
      <c r="X2" s="392"/>
      <c r="Y2" s="392"/>
      <c r="Z2" s="392"/>
      <c r="AA2" s="392"/>
    </row>
    <row r="3" spans="2:28" ht="50">
      <c r="B3" s="58" t="s">
        <v>137</v>
      </c>
    </row>
    <row r="4" spans="2:28" ht="40" outlineLevel="1">
      <c r="B4" s="93" t="s">
        <v>353</v>
      </c>
      <c r="C4" s="94"/>
      <c r="D4" s="94"/>
      <c r="E4" s="94"/>
      <c r="F4" s="94"/>
      <c r="G4" s="94"/>
      <c r="H4" s="94"/>
      <c r="I4" s="94"/>
      <c r="J4" s="94"/>
      <c r="K4" s="94"/>
      <c r="L4" s="94"/>
      <c r="M4" s="94"/>
      <c r="N4" s="94"/>
      <c r="O4" s="94"/>
      <c r="P4" s="94"/>
      <c r="Q4" s="94"/>
      <c r="R4" s="94"/>
      <c r="S4" s="94"/>
      <c r="T4" s="94"/>
      <c r="U4" s="94"/>
      <c r="V4" s="95"/>
      <c r="W4" s="96"/>
      <c r="X4" s="96"/>
      <c r="Y4" s="96"/>
      <c r="Z4" s="96"/>
      <c r="AA4" s="96"/>
      <c r="AB4" s="96"/>
    </row>
    <row r="5" spans="2:28" ht="40" outlineLevel="1">
      <c r="B5" s="399" t="s">
        <v>139</v>
      </c>
      <c r="C5" s="97" t="s">
        <v>140</v>
      </c>
      <c r="D5" s="393" t="s">
        <v>141</v>
      </c>
      <c r="E5" s="394"/>
      <c r="F5" s="98"/>
      <c r="G5" s="98"/>
      <c r="H5" s="98"/>
      <c r="I5" s="98"/>
      <c r="J5" s="98"/>
      <c r="K5" s="98"/>
      <c r="L5" s="98"/>
      <c r="M5" s="98"/>
      <c r="N5" s="98"/>
      <c r="O5" s="98"/>
      <c r="P5" s="98"/>
      <c r="Q5" s="98"/>
      <c r="R5" s="98"/>
      <c r="S5" s="98"/>
      <c r="T5" s="98"/>
      <c r="U5" s="98"/>
      <c r="V5" s="68"/>
    </row>
    <row r="6" spans="2:28" ht="41" outlineLevel="1" thickBot="1">
      <c r="B6" s="400"/>
      <c r="C6" s="99" t="s">
        <v>142</v>
      </c>
      <c r="D6" s="395" t="s">
        <v>143</v>
      </c>
      <c r="E6" s="396"/>
      <c r="F6" s="98"/>
      <c r="G6" s="98"/>
      <c r="H6" s="98"/>
      <c r="I6" s="98"/>
      <c r="J6" s="98"/>
      <c r="K6" s="98"/>
      <c r="L6" s="98"/>
      <c r="M6" s="98"/>
      <c r="N6" s="98"/>
      <c r="O6" s="98"/>
      <c r="P6" s="98"/>
      <c r="Q6" s="98"/>
      <c r="R6" s="98"/>
      <c r="S6" s="98"/>
      <c r="T6" s="98"/>
      <c r="U6" s="98"/>
      <c r="V6" s="68"/>
    </row>
    <row r="7" spans="2:28" ht="21" outlineLevel="1">
      <c r="B7" s="397" t="s">
        <v>342</v>
      </c>
      <c r="C7" s="398"/>
      <c r="D7" s="398"/>
      <c r="E7" s="398"/>
      <c r="F7" s="398"/>
      <c r="G7" s="398"/>
      <c r="H7" s="100"/>
    </row>
    <row r="8" spans="2:28" ht="88" customHeight="1" outlineLevel="1">
      <c r="B8" s="52" t="s">
        <v>91</v>
      </c>
      <c r="C8" s="52" t="s">
        <v>92</v>
      </c>
      <c r="D8" s="52" t="s">
        <v>94</v>
      </c>
      <c r="E8" s="59" t="s">
        <v>144</v>
      </c>
      <c r="F8" s="60" t="s">
        <v>145</v>
      </c>
      <c r="G8" s="60" t="s">
        <v>146</v>
      </c>
      <c r="H8" s="101"/>
      <c r="I8" s="63" t="s">
        <v>453</v>
      </c>
      <c r="J8" s="68"/>
    </row>
    <row r="9" spans="2:28" ht="66" customHeight="1" outlineLevel="1">
      <c r="B9" s="105" t="s">
        <v>148</v>
      </c>
      <c r="C9" s="106">
        <v>3000</v>
      </c>
      <c r="D9" s="106">
        <v>0</v>
      </c>
      <c r="E9" s="107">
        <v>3000</v>
      </c>
      <c r="F9" s="105"/>
      <c r="G9" s="105"/>
      <c r="H9" s="101"/>
      <c r="I9" s="401" t="s">
        <v>461</v>
      </c>
      <c r="J9" s="68"/>
    </row>
    <row r="10" spans="2:28" ht="21" outlineLevel="1">
      <c r="B10" s="105" t="s">
        <v>149</v>
      </c>
      <c r="C10" s="106">
        <v>3000</v>
      </c>
      <c r="D10" s="106">
        <v>500</v>
      </c>
      <c r="E10" s="107">
        <v>3500</v>
      </c>
      <c r="F10" s="105"/>
      <c r="G10" s="105"/>
      <c r="H10" s="101"/>
      <c r="I10" s="401"/>
      <c r="J10" s="68"/>
    </row>
    <row r="11" spans="2:28" ht="21" outlineLevel="1">
      <c r="B11" s="105" t="s">
        <v>150</v>
      </c>
      <c r="C11" s="106">
        <v>3000</v>
      </c>
      <c r="D11" s="106">
        <v>1000</v>
      </c>
      <c r="E11" s="107">
        <v>4000</v>
      </c>
      <c r="F11" s="105"/>
      <c r="G11" s="105"/>
      <c r="H11" s="101"/>
      <c r="I11" s="401"/>
      <c r="J11" s="68"/>
    </row>
    <row r="12" spans="2:28" ht="21" outlineLevel="1">
      <c r="B12" s="105" t="s">
        <v>151</v>
      </c>
      <c r="C12" s="106">
        <v>3000</v>
      </c>
      <c r="D12" s="106">
        <v>1500</v>
      </c>
      <c r="E12" s="107">
        <v>4500</v>
      </c>
      <c r="F12" s="105"/>
      <c r="G12" s="105"/>
      <c r="H12" s="101"/>
      <c r="I12" s="401"/>
      <c r="J12" s="68"/>
    </row>
    <row r="13" spans="2:28" ht="21" outlineLevel="1">
      <c r="B13" s="105" t="s">
        <v>152</v>
      </c>
      <c r="C13" s="106">
        <v>3000</v>
      </c>
      <c r="D13" s="106">
        <v>2000</v>
      </c>
      <c r="E13" s="107">
        <v>5000</v>
      </c>
      <c r="F13" s="105"/>
      <c r="G13" s="105"/>
      <c r="H13" s="101"/>
      <c r="I13" s="401"/>
      <c r="J13" s="68"/>
    </row>
    <row r="14" spans="2:28" ht="21" outlineLevel="1">
      <c r="B14" s="105" t="s">
        <v>153</v>
      </c>
      <c r="C14" s="106">
        <v>3000</v>
      </c>
      <c r="D14" s="106">
        <v>2500</v>
      </c>
      <c r="E14" s="107">
        <v>5500</v>
      </c>
      <c r="F14" s="105"/>
      <c r="G14" s="105"/>
      <c r="H14" s="101"/>
      <c r="I14" s="401"/>
      <c r="J14" s="68"/>
    </row>
    <row r="15" spans="2:28" ht="21" outlineLevel="1">
      <c r="B15" s="105" t="s">
        <v>154</v>
      </c>
      <c r="C15" s="106">
        <v>3000</v>
      </c>
      <c r="D15" s="106">
        <v>3000</v>
      </c>
      <c r="E15" s="107">
        <v>6000</v>
      </c>
      <c r="F15" s="105"/>
      <c r="G15" s="105"/>
      <c r="H15" s="101"/>
      <c r="I15" s="401"/>
    </row>
    <row r="16" spans="2:28" ht="21" outlineLevel="1">
      <c r="B16" s="105" t="s">
        <v>155</v>
      </c>
      <c r="C16" s="106">
        <v>3000</v>
      </c>
      <c r="D16" s="106">
        <v>3500</v>
      </c>
      <c r="E16" s="107">
        <v>6500</v>
      </c>
      <c r="F16" s="105"/>
      <c r="G16" s="105"/>
      <c r="H16" s="101"/>
      <c r="I16" s="401"/>
    </row>
    <row r="17" spans="2:9" ht="21" outlineLevel="1">
      <c r="B17" s="105" t="s">
        <v>156</v>
      </c>
      <c r="C17" s="106">
        <v>3000</v>
      </c>
      <c r="D17" s="106">
        <v>4000</v>
      </c>
      <c r="E17" s="107">
        <v>7000</v>
      </c>
      <c r="F17" s="105"/>
      <c r="G17" s="105"/>
      <c r="H17" s="101"/>
      <c r="I17" s="401"/>
    </row>
    <row r="18" spans="2:9" ht="21" outlineLevel="1">
      <c r="B18" s="105" t="s">
        <v>157</v>
      </c>
      <c r="C18" s="106">
        <v>3000</v>
      </c>
      <c r="D18" s="106">
        <v>4500</v>
      </c>
      <c r="E18" s="107">
        <v>7500</v>
      </c>
      <c r="F18" s="105"/>
      <c r="G18" s="105"/>
      <c r="H18" s="101"/>
      <c r="I18" s="401"/>
    </row>
    <row r="19" spans="2:9" ht="21" outlineLevel="1">
      <c r="B19" s="105" t="s">
        <v>158</v>
      </c>
      <c r="C19" s="106">
        <v>3000</v>
      </c>
      <c r="D19" s="106">
        <v>5000</v>
      </c>
      <c r="E19" s="107">
        <v>8000</v>
      </c>
      <c r="F19" s="105"/>
      <c r="G19" s="110" t="s">
        <v>159</v>
      </c>
      <c r="H19" s="101"/>
      <c r="I19" s="401"/>
    </row>
    <row r="20" spans="2:9" ht="21" outlineLevel="1">
      <c r="B20" s="105" t="s">
        <v>160</v>
      </c>
      <c r="C20" s="106">
        <v>3000</v>
      </c>
      <c r="D20" s="106">
        <v>5500</v>
      </c>
      <c r="E20" s="107">
        <v>8500</v>
      </c>
      <c r="F20" s="105"/>
      <c r="G20" s="105"/>
      <c r="H20" s="101"/>
      <c r="I20" s="401"/>
    </row>
    <row r="21" spans="2:9" ht="21" outlineLevel="1">
      <c r="B21" s="105" t="s">
        <v>161</v>
      </c>
      <c r="C21" s="106">
        <v>3000</v>
      </c>
      <c r="D21" s="106">
        <v>6000</v>
      </c>
      <c r="E21" s="105">
        <v>9000</v>
      </c>
      <c r="F21" s="105"/>
      <c r="G21" s="105"/>
      <c r="H21" s="101"/>
      <c r="I21" s="401"/>
    </row>
    <row r="22" spans="2:9" ht="21" outlineLevel="1">
      <c r="B22" s="105" t="s">
        <v>162</v>
      </c>
      <c r="C22" s="106">
        <v>3000</v>
      </c>
      <c r="D22" s="106">
        <v>6500</v>
      </c>
      <c r="E22" s="107">
        <v>9500</v>
      </c>
      <c r="F22" s="110" t="s">
        <v>159</v>
      </c>
      <c r="G22" s="105"/>
      <c r="H22" s="101"/>
      <c r="I22" s="401"/>
    </row>
    <row r="23" spans="2:9" ht="21" outlineLevel="1">
      <c r="B23" s="105" t="s">
        <v>163</v>
      </c>
      <c r="C23" s="106">
        <v>3000</v>
      </c>
      <c r="D23" s="106">
        <v>7000</v>
      </c>
      <c r="E23" s="112">
        <v>10000</v>
      </c>
      <c r="F23" s="105"/>
      <c r="G23" s="112" t="s">
        <v>4</v>
      </c>
      <c r="H23" s="101"/>
      <c r="I23" s="401"/>
    </row>
    <row r="24" spans="2:9" ht="21" outlineLevel="1">
      <c r="B24" s="105" t="s">
        <v>164</v>
      </c>
      <c r="C24" s="106">
        <v>3000</v>
      </c>
      <c r="D24" s="106">
        <v>8000</v>
      </c>
      <c r="E24" s="105">
        <v>11000</v>
      </c>
      <c r="F24" s="105"/>
      <c r="G24" s="110" t="s">
        <v>165</v>
      </c>
      <c r="H24" s="101"/>
      <c r="I24" s="401"/>
    </row>
    <row r="25" spans="2:9" ht="21" outlineLevel="1">
      <c r="B25" s="105" t="s">
        <v>166</v>
      </c>
      <c r="C25" s="106">
        <v>3000</v>
      </c>
      <c r="D25" s="106">
        <v>9000</v>
      </c>
      <c r="E25" s="107">
        <v>12000</v>
      </c>
      <c r="F25" s="105"/>
      <c r="G25" s="105"/>
      <c r="H25" s="101"/>
      <c r="I25" s="401"/>
    </row>
    <row r="26" spans="2:9" ht="21" outlineLevel="1">
      <c r="B26" s="105" t="s">
        <v>167</v>
      </c>
      <c r="C26" s="106">
        <v>3000</v>
      </c>
      <c r="D26" s="106">
        <v>10000</v>
      </c>
      <c r="E26" s="112">
        <v>13000</v>
      </c>
      <c r="F26" s="112" t="s">
        <v>4</v>
      </c>
      <c r="G26" s="110" t="s">
        <v>168</v>
      </c>
      <c r="H26" s="101"/>
      <c r="I26" s="401"/>
    </row>
    <row r="27" spans="2:9" ht="21" outlineLevel="1">
      <c r="B27" s="105" t="s">
        <v>169</v>
      </c>
      <c r="C27" s="106">
        <v>3000</v>
      </c>
      <c r="D27" s="106">
        <v>11000</v>
      </c>
      <c r="E27" s="107">
        <v>14000</v>
      </c>
      <c r="F27" s="105"/>
      <c r="G27" s="105"/>
      <c r="H27" s="101"/>
      <c r="I27" s="401"/>
    </row>
    <row r="28" spans="2:9" ht="21" outlineLevel="1">
      <c r="B28" s="105" t="s">
        <v>97</v>
      </c>
      <c r="C28" s="106">
        <v>3000</v>
      </c>
      <c r="D28" s="106">
        <v>12000</v>
      </c>
      <c r="E28" s="107">
        <v>15000</v>
      </c>
      <c r="F28" s="110" t="s">
        <v>168</v>
      </c>
      <c r="G28" s="105"/>
      <c r="H28" s="101"/>
      <c r="I28" s="401"/>
    </row>
    <row r="29" spans="2:9" ht="21" outlineLevel="1">
      <c r="B29" s="105" t="s">
        <v>98</v>
      </c>
      <c r="C29" s="106">
        <v>3000</v>
      </c>
      <c r="D29" s="106">
        <v>13000</v>
      </c>
      <c r="E29" s="107">
        <v>16000</v>
      </c>
      <c r="F29" s="105"/>
      <c r="G29" s="105"/>
      <c r="H29" s="101"/>
      <c r="I29" s="401"/>
    </row>
    <row r="30" spans="2:9" ht="21" outlineLevel="1">
      <c r="B30" s="105" t="s">
        <v>99</v>
      </c>
      <c r="C30" s="106">
        <v>3000</v>
      </c>
      <c r="D30" s="106">
        <v>14000</v>
      </c>
      <c r="E30" s="107">
        <v>17000</v>
      </c>
      <c r="F30" s="105"/>
      <c r="G30" s="105"/>
      <c r="H30" s="101"/>
      <c r="I30" s="401"/>
    </row>
    <row r="32" spans="2:9" ht="50">
      <c r="B32" s="58" t="s">
        <v>113</v>
      </c>
    </row>
    <row r="34" spans="2:31" s="54" customFormat="1" ht="28" customHeight="1">
      <c r="B34" s="408" t="s">
        <v>342</v>
      </c>
      <c r="C34" s="408"/>
      <c r="D34" s="408"/>
      <c r="E34" s="408"/>
      <c r="F34" s="408"/>
      <c r="G34" s="408"/>
      <c r="H34" s="408"/>
      <c r="I34" s="408"/>
      <c r="J34" s="408"/>
      <c r="K34" s="408"/>
      <c r="L34" s="408"/>
      <c r="M34" s="408"/>
      <c r="N34" s="408"/>
      <c r="O34" s="408"/>
      <c r="P34" s="408"/>
      <c r="Q34" s="408"/>
      <c r="R34" s="408"/>
      <c r="S34" s="55"/>
      <c r="T34" s="55"/>
      <c r="U34" s="55"/>
      <c r="V34" s="55"/>
      <c r="W34" s="55"/>
      <c r="X34" s="55"/>
      <c r="Y34" s="55"/>
      <c r="Z34" s="55"/>
      <c r="AA34" s="55"/>
      <c r="AB34" s="55"/>
    </row>
    <row r="35" spans="2:31" ht="28" customHeight="1" thickBot="1">
      <c r="B35" s="414" t="s">
        <v>443</v>
      </c>
      <c r="C35" s="415"/>
      <c r="D35" s="415"/>
      <c r="E35" s="415"/>
      <c r="F35" s="415"/>
      <c r="G35" s="415"/>
      <c r="H35" s="415"/>
      <c r="I35" s="415"/>
      <c r="J35" s="415"/>
      <c r="K35" s="415"/>
      <c r="L35" s="415"/>
      <c r="M35" s="415"/>
      <c r="N35" s="415"/>
      <c r="O35" s="415"/>
      <c r="P35" s="415"/>
      <c r="Q35" s="415"/>
      <c r="R35" s="415"/>
      <c r="S35" s="415"/>
      <c r="T35" s="415"/>
      <c r="AE35" s="54"/>
    </row>
    <row r="36" spans="2:31" ht="16" customHeight="1">
      <c r="B36" s="113"/>
      <c r="C36" s="114"/>
      <c r="D36" s="115"/>
      <c r="E36" s="115"/>
      <c r="F36" s="115"/>
      <c r="G36" s="115"/>
      <c r="H36" s="115"/>
      <c r="I36" s="115"/>
      <c r="J36" s="115"/>
      <c r="K36" s="115"/>
      <c r="L36" s="115"/>
      <c r="M36" s="115"/>
      <c r="N36" s="115"/>
      <c r="O36" s="115"/>
      <c r="P36" s="115"/>
      <c r="Q36" s="115"/>
      <c r="R36" s="184"/>
      <c r="AC36" s="92"/>
    </row>
    <row r="37" spans="2:31" ht="28" customHeight="1">
      <c r="B37" s="409" t="s">
        <v>1</v>
      </c>
      <c r="C37" s="410"/>
      <c r="D37" s="410"/>
      <c r="E37" s="410"/>
      <c r="F37" s="410"/>
      <c r="G37" s="410"/>
      <c r="H37" s="410"/>
      <c r="J37" s="411" t="s">
        <v>376</v>
      </c>
      <c r="K37" s="412"/>
      <c r="L37" s="412"/>
      <c r="M37" s="412"/>
      <c r="N37" s="412"/>
      <c r="O37" s="412"/>
      <c r="Q37" s="410" t="s">
        <v>170</v>
      </c>
      <c r="R37" s="413"/>
      <c r="T37" s="375" t="s">
        <v>395</v>
      </c>
      <c r="AC37" s="117"/>
      <c r="AD37" s="117"/>
    </row>
    <row r="38" spans="2:31" ht="30" customHeight="1">
      <c r="B38" s="409" t="s">
        <v>80</v>
      </c>
      <c r="C38" s="410"/>
      <c r="D38" s="410" t="s">
        <v>171</v>
      </c>
      <c r="E38" s="410"/>
      <c r="F38" s="410" t="s">
        <v>7</v>
      </c>
      <c r="G38" s="410"/>
      <c r="H38" s="410"/>
      <c r="J38" s="118" t="s">
        <v>81</v>
      </c>
      <c r="K38" s="119"/>
      <c r="L38" s="118" t="s">
        <v>82</v>
      </c>
      <c r="M38" s="120"/>
      <c r="N38" s="120"/>
      <c r="O38" s="119"/>
      <c r="Q38" s="77" t="s">
        <v>119</v>
      </c>
      <c r="R38" s="182" t="s">
        <v>135</v>
      </c>
      <c r="T38" s="376"/>
      <c r="U38" s="128"/>
      <c r="V38" s="128"/>
      <c r="W38" s="128"/>
      <c r="X38" s="128"/>
      <c r="Y38" s="116"/>
      <c r="AC38" s="402"/>
      <c r="AD38" s="402"/>
    </row>
    <row r="39" spans="2:31" ht="44" customHeight="1">
      <c r="B39" s="409"/>
      <c r="C39" s="410"/>
      <c r="D39" s="121" t="s">
        <v>83</v>
      </c>
      <c r="E39" s="121" t="s">
        <v>84</v>
      </c>
      <c r="F39" s="77" t="s">
        <v>172</v>
      </c>
      <c r="G39" s="77" t="s">
        <v>173</v>
      </c>
      <c r="H39" s="77" t="s">
        <v>174</v>
      </c>
      <c r="J39" s="78" t="s">
        <v>83</v>
      </c>
      <c r="K39" s="78" t="s">
        <v>85</v>
      </c>
      <c r="L39" s="122" t="s">
        <v>175</v>
      </c>
      <c r="M39" s="122" t="s">
        <v>176</v>
      </c>
      <c r="N39" s="122" t="s">
        <v>177</v>
      </c>
      <c r="O39" s="122" t="s">
        <v>178</v>
      </c>
      <c r="Q39" s="81" t="s">
        <v>122</v>
      </c>
      <c r="R39" s="183" t="s">
        <v>123</v>
      </c>
      <c r="T39" s="407" t="s">
        <v>458</v>
      </c>
      <c r="U39" s="128"/>
      <c r="V39" s="128"/>
      <c r="W39" s="128"/>
      <c r="X39" s="128"/>
      <c r="Y39" s="123"/>
      <c r="AC39" s="124"/>
      <c r="AD39" s="124"/>
    </row>
    <row r="40" spans="2:31" ht="25" customHeight="1">
      <c r="B40" s="403" t="s">
        <v>392</v>
      </c>
      <c r="C40" s="404"/>
      <c r="D40" s="330" t="s">
        <v>447</v>
      </c>
      <c r="E40" s="332">
        <v>0</v>
      </c>
      <c r="F40" s="80">
        <v>1</v>
      </c>
      <c r="G40" s="80">
        <v>0.8</v>
      </c>
      <c r="H40" s="81">
        <v>0.25</v>
      </c>
      <c r="I40" s="125"/>
      <c r="J40" s="334">
        <v>0.8</v>
      </c>
      <c r="K40" s="334" t="s">
        <v>179</v>
      </c>
      <c r="L40" s="388">
        <v>1</v>
      </c>
      <c r="M40" s="418">
        <v>1.2</v>
      </c>
      <c r="N40" s="418">
        <v>1.5</v>
      </c>
      <c r="O40" s="418">
        <v>2</v>
      </c>
      <c r="Q40" s="404" t="s">
        <v>449</v>
      </c>
      <c r="R40" s="405"/>
      <c r="T40" s="407"/>
      <c r="U40" s="125"/>
      <c r="V40" s="125"/>
      <c r="W40" s="125"/>
      <c r="X40" s="125"/>
      <c r="Y40" s="90"/>
      <c r="AC40" s="124"/>
      <c r="AD40" s="108"/>
      <c r="AE40" s="124"/>
    </row>
    <row r="41" spans="2:31" ht="25" customHeight="1">
      <c r="B41" s="403"/>
      <c r="C41" s="404"/>
      <c r="D41" s="331"/>
      <c r="E41" s="333"/>
      <c r="F41" s="404" t="s">
        <v>386</v>
      </c>
      <c r="G41" s="404"/>
      <c r="H41" s="404"/>
      <c r="J41" s="335"/>
      <c r="K41" s="335" t="s">
        <v>17</v>
      </c>
      <c r="L41" s="389" t="s">
        <v>17</v>
      </c>
      <c r="M41" s="419" t="s">
        <v>17</v>
      </c>
      <c r="N41" s="419" t="s">
        <v>17</v>
      </c>
      <c r="O41" s="419" t="s">
        <v>17</v>
      </c>
      <c r="Q41" s="404"/>
      <c r="R41" s="405"/>
      <c r="T41" s="407"/>
      <c r="U41" s="125"/>
      <c r="V41" s="125"/>
      <c r="W41" s="125"/>
      <c r="X41" s="125"/>
      <c r="Y41" s="90"/>
      <c r="AC41" s="124"/>
      <c r="AD41" s="108"/>
      <c r="AE41" s="124"/>
    </row>
    <row r="42" spans="2:31" ht="25" customHeight="1">
      <c r="B42" s="403"/>
      <c r="C42" s="404"/>
      <c r="D42" s="180" t="s">
        <v>75</v>
      </c>
      <c r="E42" s="181">
        <v>0.25</v>
      </c>
      <c r="F42" s="404"/>
      <c r="G42" s="404"/>
      <c r="H42" s="404"/>
      <c r="J42" s="336"/>
      <c r="K42" s="336" t="s">
        <v>179</v>
      </c>
      <c r="L42" s="390">
        <v>1</v>
      </c>
      <c r="M42" s="420">
        <v>1.2</v>
      </c>
      <c r="N42" s="420">
        <v>1.5</v>
      </c>
      <c r="O42" s="420">
        <v>2</v>
      </c>
      <c r="Q42" s="404"/>
      <c r="R42" s="405"/>
      <c r="T42" s="407"/>
      <c r="U42" s="125"/>
      <c r="V42" s="125"/>
      <c r="W42" s="125"/>
      <c r="X42" s="125"/>
      <c r="Y42" s="90"/>
      <c r="AC42" s="124"/>
      <c r="AD42" s="108"/>
      <c r="AE42" s="124"/>
    </row>
    <row r="43" spans="2:31" ht="25" customHeight="1">
      <c r="B43" s="403"/>
      <c r="C43" s="404"/>
      <c r="D43" s="180" t="s">
        <v>76</v>
      </c>
      <c r="E43" s="181">
        <v>0.5</v>
      </c>
      <c r="F43" s="404"/>
      <c r="G43" s="404"/>
      <c r="H43" s="404"/>
      <c r="J43" s="82">
        <v>0.9</v>
      </c>
      <c r="K43" s="83" t="s">
        <v>180</v>
      </c>
      <c r="L43" s="84">
        <v>1</v>
      </c>
      <c r="M43" s="85">
        <v>1.2</v>
      </c>
      <c r="N43" s="85">
        <v>1.5</v>
      </c>
      <c r="O43" s="85">
        <v>2</v>
      </c>
      <c r="Q43" s="404"/>
      <c r="R43" s="405"/>
      <c r="T43" s="407"/>
      <c r="U43" s="125"/>
      <c r="V43" s="125"/>
      <c r="W43" s="125"/>
      <c r="X43" s="125"/>
      <c r="Y43" s="90"/>
      <c r="AC43" s="124"/>
      <c r="AD43" s="108"/>
      <c r="AE43" s="124"/>
    </row>
    <row r="44" spans="2:31" ht="25" customHeight="1">
      <c r="B44" s="403"/>
      <c r="C44" s="404"/>
      <c r="D44" s="318" t="s">
        <v>385</v>
      </c>
      <c r="E44" s="319"/>
      <c r="F44" s="404"/>
      <c r="G44" s="404"/>
      <c r="H44" s="404"/>
      <c r="J44" s="82">
        <v>1</v>
      </c>
      <c r="K44" s="83" t="s">
        <v>86</v>
      </c>
      <c r="L44" s="84">
        <v>1</v>
      </c>
      <c r="M44" s="85">
        <v>1.2</v>
      </c>
      <c r="N44" s="85">
        <v>1.5</v>
      </c>
      <c r="O44" s="85">
        <v>2</v>
      </c>
      <c r="Q44" s="404"/>
      <c r="R44" s="405"/>
      <c r="T44" s="407"/>
      <c r="U44" s="125"/>
      <c r="V44" s="125"/>
      <c r="W44" s="125"/>
      <c r="X44" s="125"/>
      <c r="Y44" s="127"/>
      <c r="AC44" s="124"/>
      <c r="AD44" s="108"/>
      <c r="AE44" s="124"/>
    </row>
    <row r="45" spans="2:31" ht="39" customHeight="1">
      <c r="B45" s="403"/>
      <c r="C45" s="404"/>
      <c r="D45" s="320"/>
      <c r="E45" s="321"/>
      <c r="F45" s="404"/>
      <c r="G45" s="404"/>
      <c r="H45" s="404"/>
      <c r="J45" s="318" t="s">
        <v>387</v>
      </c>
      <c r="K45" s="351"/>
      <c r="L45" s="351"/>
      <c r="M45" s="351"/>
      <c r="N45" s="351"/>
      <c r="O45" s="319"/>
      <c r="Q45" s="404"/>
      <c r="R45" s="405"/>
      <c r="T45" s="407"/>
      <c r="U45" s="125"/>
      <c r="V45" s="125"/>
      <c r="W45" s="125"/>
      <c r="X45" s="125"/>
      <c r="Y45" s="127"/>
      <c r="AC45" s="406"/>
      <c r="AD45" s="406"/>
    </row>
    <row r="46" spans="2:31" ht="67" customHeight="1">
      <c r="B46" s="403"/>
      <c r="C46" s="404"/>
      <c r="D46" s="320"/>
      <c r="E46" s="321"/>
      <c r="F46" s="404"/>
      <c r="G46" s="404"/>
      <c r="H46" s="404"/>
      <c r="J46" s="320"/>
      <c r="K46" s="352"/>
      <c r="L46" s="352"/>
      <c r="M46" s="352"/>
      <c r="N46" s="352"/>
      <c r="O46" s="321"/>
      <c r="Q46" s="404"/>
      <c r="R46" s="405"/>
      <c r="T46" s="407"/>
      <c r="U46" s="125"/>
      <c r="V46" s="125"/>
      <c r="W46" s="125"/>
      <c r="X46" s="125"/>
      <c r="Y46" s="127"/>
      <c r="AC46" s="406"/>
      <c r="AD46" s="406"/>
    </row>
    <row r="47" spans="2:31" ht="65" customHeight="1">
      <c r="B47" s="403"/>
      <c r="C47" s="404"/>
      <c r="D47" s="320"/>
      <c r="E47" s="321"/>
      <c r="F47" s="404"/>
      <c r="G47" s="404"/>
      <c r="H47" s="404"/>
      <c r="J47" s="320"/>
      <c r="K47" s="352"/>
      <c r="L47" s="352"/>
      <c r="M47" s="352"/>
      <c r="N47" s="352"/>
      <c r="O47" s="321"/>
      <c r="Q47" s="404"/>
      <c r="R47" s="405"/>
      <c r="T47" s="407"/>
      <c r="U47" s="125"/>
      <c r="V47" s="125"/>
      <c r="W47" s="125"/>
      <c r="X47" s="125"/>
      <c r="Y47" s="127"/>
      <c r="AC47" s="406"/>
      <c r="AD47" s="406"/>
    </row>
    <row r="48" spans="2:31" ht="116" customHeight="1">
      <c r="B48" s="403"/>
      <c r="C48" s="404"/>
      <c r="D48" s="322"/>
      <c r="E48" s="323"/>
      <c r="F48" s="404"/>
      <c r="G48" s="404"/>
      <c r="H48" s="404"/>
      <c r="J48" s="322"/>
      <c r="K48" s="353"/>
      <c r="L48" s="353"/>
      <c r="M48" s="353"/>
      <c r="N48" s="353"/>
      <c r="O48" s="323"/>
      <c r="Q48" s="404"/>
      <c r="R48" s="405"/>
      <c r="T48" s="407"/>
      <c r="U48" s="125"/>
      <c r="V48" s="125"/>
      <c r="W48" s="125"/>
      <c r="X48" s="125"/>
      <c r="Y48" s="127"/>
      <c r="AC48" s="406"/>
      <c r="AD48" s="406"/>
    </row>
    <row r="49" spans="2:32" ht="124" customHeight="1">
      <c r="B49" s="416" t="s">
        <v>378</v>
      </c>
      <c r="C49" s="417"/>
      <c r="D49" s="417"/>
      <c r="E49" s="417"/>
      <c r="F49" s="417"/>
      <c r="G49" s="417"/>
      <c r="H49" s="417"/>
      <c r="I49" s="417"/>
      <c r="J49" s="417"/>
      <c r="K49" s="417"/>
      <c r="L49" s="417"/>
      <c r="M49" s="417"/>
      <c r="N49" s="417"/>
      <c r="O49" s="417"/>
      <c r="P49" s="417"/>
      <c r="Q49" s="417"/>
      <c r="R49" s="417"/>
      <c r="S49" s="417"/>
      <c r="T49" s="417"/>
      <c r="U49" s="125"/>
      <c r="V49" s="125"/>
      <c r="W49" s="125"/>
      <c r="X49" s="125"/>
      <c r="Y49" s="125"/>
      <c r="Z49" s="125"/>
      <c r="AA49" s="125"/>
      <c r="AB49" s="125"/>
      <c r="AC49" s="125"/>
      <c r="AD49" s="125"/>
      <c r="AE49" s="125"/>
      <c r="AF49" s="125"/>
    </row>
    <row r="50" spans="2:32">
      <c r="B50" s="129"/>
      <c r="C50" s="129"/>
      <c r="D50" s="129"/>
      <c r="E50" s="129"/>
      <c r="F50" s="129"/>
      <c r="G50" s="129"/>
      <c r="H50" s="129"/>
      <c r="I50" s="129"/>
      <c r="J50" s="129"/>
      <c r="K50" s="129"/>
      <c r="L50" s="129"/>
      <c r="M50" s="129"/>
      <c r="N50" s="129"/>
      <c r="O50" s="129"/>
      <c r="P50" s="129"/>
      <c r="Q50" s="129"/>
      <c r="R50" s="129"/>
      <c r="T50" s="125"/>
      <c r="U50" s="125"/>
      <c r="V50" s="125"/>
      <c r="W50" s="125"/>
      <c r="X50" s="125"/>
      <c r="Y50" s="125"/>
      <c r="Z50" s="125"/>
      <c r="AA50" s="125"/>
      <c r="AB50" s="125"/>
      <c r="AC50" s="125"/>
      <c r="AD50" s="125"/>
      <c r="AE50" s="125"/>
      <c r="AF50" s="125"/>
    </row>
    <row r="51" spans="2:32">
      <c r="S51" s="89"/>
      <c r="T51" s="89"/>
      <c r="Y51" s="127"/>
      <c r="Z51" s="127"/>
      <c r="AA51" s="127"/>
    </row>
    <row r="52" spans="2:32">
      <c r="S52" s="89"/>
      <c r="T52" s="89"/>
      <c r="Y52" s="127"/>
      <c r="Z52" s="127"/>
      <c r="AA52" s="127"/>
    </row>
    <row r="53" spans="2:32">
      <c r="S53" s="89"/>
      <c r="T53" s="89"/>
      <c r="Y53" s="127"/>
      <c r="Z53" s="127"/>
      <c r="AA53" s="127"/>
    </row>
    <row r="54" spans="2:32">
      <c r="S54" s="89"/>
      <c r="T54" s="89"/>
      <c r="Y54" s="127"/>
      <c r="Z54" s="127"/>
      <c r="AA54" s="127"/>
    </row>
    <row r="55" spans="2:32">
      <c r="S55" s="89"/>
      <c r="T55" s="89"/>
      <c r="Y55" s="127"/>
      <c r="Z55" s="127"/>
      <c r="AA55" s="127"/>
    </row>
    <row r="56" spans="2:32">
      <c r="S56" s="89"/>
      <c r="T56" s="89"/>
      <c r="Y56" s="127"/>
      <c r="Z56" s="127"/>
      <c r="AA56" s="127"/>
    </row>
    <row r="57" spans="2:32">
      <c r="S57" s="89"/>
      <c r="T57" s="89"/>
      <c r="Y57" s="127"/>
      <c r="Z57" s="127"/>
      <c r="AA57" s="127"/>
    </row>
    <row r="58" spans="2:32">
      <c r="S58" s="89"/>
      <c r="T58" s="89"/>
      <c r="Y58" s="127"/>
      <c r="Z58" s="127"/>
      <c r="AA58" s="127"/>
    </row>
  </sheetData>
  <mergeCells count="32">
    <mergeCell ref="B49:T49"/>
    <mergeCell ref="B38:C39"/>
    <mergeCell ref="D38:E38"/>
    <mergeCell ref="F38:H38"/>
    <mergeCell ref="D40:D41"/>
    <mergeCell ref="J40:J42"/>
    <mergeCell ref="K40:K42"/>
    <mergeCell ref="L40:L42"/>
    <mergeCell ref="M40:M42"/>
    <mergeCell ref="N40:N42"/>
    <mergeCell ref="O40:O42"/>
    <mergeCell ref="I9:I30"/>
    <mergeCell ref="AC38:AD38"/>
    <mergeCell ref="B40:C48"/>
    <mergeCell ref="Q40:R48"/>
    <mergeCell ref="F41:H48"/>
    <mergeCell ref="D44:E48"/>
    <mergeCell ref="J45:O48"/>
    <mergeCell ref="AC45:AD48"/>
    <mergeCell ref="T37:T38"/>
    <mergeCell ref="T39:T48"/>
    <mergeCell ref="E40:E41"/>
    <mergeCell ref="B34:R34"/>
    <mergeCell ref="B37:H37"/>
    <mergeCell ref="J37:O37"/>
    <mergeCell ref="Q37:R37"/>
    <mergeCell ref="B35:T35"/>
    <mergeCell ref="B2:AA2"/>
    <mergeCell ref="D5:E5"/>
    <mergeCell ref="D6:E6"/>
    <mergeCell ref="B7:G7"/>
    <mergeCell ref="B5:B6"/>
  </mergeCells>
  <phoneticPr fontId="80"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sheetPr>
  <dimension ref="B2:AD51"/>
  <sheetViews>
    <sheetView showGridLines="0" topLeftCell="A47" workbookViewId="0">
      <selection activeCell="G65" sqref="G65"/>
    </sheetView>
  </sheetViews>
  <sheetFormatPr baseColWidth="10" defaultColWidth="11" defaultRowHeight="18" outlineLevelRow="1"/>
  <cols>
    <col min="1" max="1" width="2.83203125" style="55" customWidth="1"/>
    <col min="2" max="2" width="40" style="55" customWidth="1"/>
    <col min="3" max="3" width="11" style="55" customWidth="1"/>
    <col min="4" max="4" width="21.1640625" style="55" customWidth="1"/>
    <col min="5" max="5" width="26.1640625" style="55" customWidth="1"/>
    <col min="6" max="6" width="20.83203125" style="55" customWidth="1"/>
    <col min="7" max="7" width="30.83203125" style="55" customWidth="1"/>
    <col min="8" max="8" width="20.33203125" style="55" customWidth="1"/>
    <col min="9" max="9" width="8.33203125" style="55" customWidth="1"/>
    <col min="10" max="10" width="37.5" style="55" customWidth="1"/>
    <col min="11" max="11" width="24.1640625" style="55" customWidth="1"/>
    <col min="12" max="12" width="24.5" style="55" customWidth="1"/>
    <col min="13" max="14" width="16.5" style="55" customWidth="1"/>
    <col min="15" max="15" width="4.5" style="55" customWidth="1"/>
    <col min="16" max="16" width="31.83203125" style="55" customWidth="1"/>
    <col min="17" max="17" width="48" style="55" customWidth="1"/>
    <col min="18" max="18" width="6.6640625" style="55" customWidth="1"/>
    <col min="19" max="19" width="28.6640625" style="55" customWidth="1"/>
    <col min="20" max="20" width="26.83203125" style="55" customWidth="1"/>
    <col min="21" max="21" width="2.1640625" style="55" customWidth="1"/>
    <col min="22" max="22" width="29.1640625" style="55" customWidth="1"/>
    <col min="23" max="23" width="21" style="55" customWidth="1"/>
    <col min="24" max="25" width="14.1640625" style="55" customWidth="1"/>
    <col min="26" max="26" width="14.6640625" style="55" customWidth="1"/>
    <col min="27" max="27" width="17.5" style="55" customWidth="1"/>
    <col min="28" max="28" width="17.33203125" style="55" customWidth="1"/>
    <col min="29" max="29" width="17.1640625" style="55" customWidth="1"/>
    <col min="30" max="30" width="21.6640625" style="55" customWidth="1"/>
    <col min="31" max="31" width="22" style="55" customWidth="1"/>
    <col min="32" max="32" width="16.6640625" style="55" customWidth="1"/>
    <col min="33" max="16384" width="11" style="55"/>
  </cols>
  <sheetData>
    <row r="2" spans="2:27" s="54" customFormat="1" ht="77" customHeight="1">
      <c r="B2" s="421" t="s">
        <v>181</v>
      </c>
      <c r="C2" s="392"/>
      <c r="D2" s="392"/>
      <c r="E2" s="392"/>
      <c r="F2" s="392"/>
      <c r="G2" s="392"/>
      <c r="H2" s="392"/>
      <c r="I2" s="392"/>
      <c r="J2" s="392"/>
      <c r="K2" s="392"/>
      <c r="L2" s="392"/>
      <c r="M2" s="392"/>
      <c r="N2" s="392"/>
      <c r="O2" s="392"/>
      <c r="P2" s="392"/>
      <c r="Q2" s="392"/>
      <c r="R2" s="392"/>
      <c r="S2" s="392"/>
      <c r="T2" s="392"/>
      <c r="U2" s="392"/>
      <c r="V2" s="392"/>
      <c r="W2" s="392"/>
      <c r="X2" s="392"/>
      <c r="Y2" s="392"/>
      <c r="Z2" s="392"/>
    </row>
    <row r="3" spans="2:27" ht="50">
      <c r="B3" s="58" t="s">
        <v>182</v>
      </c>
    </row>
    <row r="4" spans="2:27" ht="41" outlineLevel="1" thickBot="1">
      <c r="B4" s="93" t="s">
        <v>138</v>
      </c>
      <c r="C4" s="94"/>
      <c r="D4" s="94"/>
      <c r="E4" s="94"/>
      <c r="F4" s="94"/>
      <c r="G4" s="94"/>
      <c r="H4" s="94"/>
      <c r="I4" s="94"/>
      <c r="J4" s="94"/>
      <c r="K4" s="94"/>
      <c r="L4" s="94"/>
      <c r="M4" s="94"/>
      <c r="N4" s="94"/>
      <c r="O4" s="94"/>
      <c r="P4" s="94"/>
      <c r="Q4" s="94"/>
      <c r="R4" s="94"/>
      <c r="S4" s="94"/>
      <c r="T4" s="94"/>
      <c r="U4" s="95"/>
      <c r="V4" s="96"/>
      <c r="W4" s="96"/>
      <c r="X4" s="96"/>
      <c r="Y4" s="96"/>
      <c r="Z4" s="96"/>
      <c r="AA4" s="96"/>
    </row>
    <row r="5" spans="2:27" ht="40" outlineLevel="1">
      <c r="B5" s="399" t="s">
        <v>139</v>
      </c>
      <c r="C5" s="97" t="s">
        <v>140</v>
      </c>
      <c r="D5" s="393" t="s">
        <v>141</v>
      </c>
      <c r="E5" s="394"/>
      <c r="F5" s="98"/>
      <c r="G5" s="98"/>
      <c r="H5" s="98"/>
      <c r="I5" s="98"/>
      <c r="J5" s="98"/>
      <c r="K5" s="98"/>
      <c r="L5" s="98"/>
      <c r="M5" s="98"/>
      <c r="N5" s="98"/>
      <c r="O5" s="98"/>
      <c r="P5" s="98"/>
      <c r="Q5" s="98"/>
      <c r="R5" s="98"/>
      <c r="S5" s="98"/>
      <c r="T5" s="98"/>
      <c r="U5" s="68"/>
    </row>
    <row r="6" spans="2:27" ht="41" outlineLevel="1" thickBot="1">
      <c r="B6" s="400"/>
      <c r="C6" s="99" t="s">
        <v>142</v>
      </c>
      <c r="D6" s="395" t="s">
        <v>143</v>
      </c>
      <c r="E6" s="396"/>
      <c r="F6" s="98"/>
      <c r="G6" s="98"/>
      <c r="H6" s="98"/>
      <c r="I6" s="98"/>
      <c r="J6" s="98"/>
      <c r="K6" s="98"/>
      <c r="L6" s="98"/>
      <c r="M6" s="98"/>
      <c r="N6" s="98"/>
      <c r="O6" s="98"/>
      <c r="P6" s="98"/>
      <c r="Q6" s="98"/>
      <c r="R6" s="98"/>
      <c r="S6" s="98"/>
      <c r="T6" s="98"/>
      <c r="U6" s="68"/>
    </row>
    <row r="7" spans="2:27" ht="21" outlineLevel="1">
      <c r="B7" s="397" t="s">
        <v>342</v>
      </c>
      <c r="C7" s="398"/>
      <c r="D7" s="398"/>
      <c r="E7" s="398"/>
      <c r="F7" s="398"/>
      <c r="G7" s="398"/>
      <c r="H7" s="100"/>
      <c r="I7" s="100"/>
      <c r="J7" s="100"/>
      <c r="K7" s="100"/>
      <c r="L7" s="100"/>
      <c r="M7" s="100"/>
      <c r="N7" s="100"/>
      <c r="O7" s="100"/>
      <c r="P7" s="422"/>
      <c r="Q7" s="423"/>
      <c r="R7" s="423"/>
      <c r="S7" s="423"/>
      <c r="T7" s="423"/>
      <c r="U7" s="423"/>
    </row>
    <row r="8" spans="2:27" ht="88" customHeight="1" outlineLevel="1">
      <c r="B8" s="52" t="s">
        <v>91</v>
      </c>
      <c r="C8" s="52" t="s">
        <v>92</v>
      </c>
      <c r="D8" s="52" t="s">
        <v>94</v>
      </c>
      <c r="E8" s="59" t="s">
        <v>144</v>
      </c>
      <c r="F8" s="60" t="s">
        <v>145</v>
      </c>
      <c r="G8" s="60" t="s">
        <v>146</v>
      </c>
      <c r="H8" s="101"/>
      <c r="I8" s="101"/>
      <c r="J8" s="102"/>
      <c r="K8" s="424" t="s">
        <v>453</v>
      </c>
      <c r="L8" s="424"/>
      <c r="M8" s="100"/>
      <c r="N8" s="103"/>
      <c r="O8" s="103"/>
      <c r="P8" s="102"/>
      <c r="Q8" s="102"/>
      <c r="R8" s="102"/>
      <c r="S8" s="104"/>
      <c r="T8" s="103"/>
      <c r="U8" s="103"/>
    </row>
    <row r="9" spans="2:27" ht="21" customHeight="1" outlineLevel="1">
      <c r="B9" s="105" t="s">
        <v>148</v>
      </c>
      <c r="C9" s="106">
        <v>3000</v>
      </c>
      <c r="D9" s="106">
        <v>0</v>
      </c>
      <c r="E9" s="107">
        <v>3000</v>
      </c>
      <c r="F9" s="105"/>
      <c r="G9" s="105"/>
      <c r="H9" s="101"/>
      <c r="I9" s="101"/>
      <c r="J9" s="108"/>
      <c r="K9" s="425" t="s">
        <v>461</v>
      </c>
      <c r="L9" s="426"/>
      <c r="M9" s="100"/>
      <c r="N9" s="68"/>
      <c r="O9" s="68"/>
      <c r="P9" s="68"/>
      <c r="Q9" s="109"/>
      <c r="R9" s="109"/>
      <c r="S9" s="68"/>
      <c r="T9" s="68"/>
      <c r="U9" s="68"/>
    </row>
    <row r="10" spans="2:27" ht="21" outlineLevel="1">
      <c r="B10" s="105" t="s">
        <v>149</v>
      </c>
      <c r="C10" s="106">
        <v>3000</v>
      </c>
      <c r="D10" s="106">
        <v>500</v>
      </c>
      <c r="E10" s="107">
        <v>3500</v>
      </c>
      <c r="F10" s="105"/>
      <c r="G10" s="105"/>
      <c r="H10" s="101"/>
      <c r="I10" s="101"/>
      <c r="J10" s="108"/>
      <c r="K10" s="427"/>
      <c r="L10" s="428"/>
      <c r="M10" s="100"/>
      <c r="N10" s="68"/>
      <c r="O10" s="68"/>
      <c r="P10" s="68"/>
      <c r="Q10" s="109"/>
      <c r="R10" s="109"/>
      <c r="S10" s="68"/>
      <c r="T10" s="68"/>
      <c r="U10" s="68"/>
    </row>
    <row r="11" spans="2:27" ht="21" outlineLevel="1">
      <c r="B11" s="105" t="s">
        <v>150</v>
      </c>
      <c r="C11" s="106">
        <v>3000</v>
      </c>
      <c r="D11" s="106">
        <v>1000</v>
      </c>
      <c r="E11" s="107">
        <v>4000</v>
      </c>
      <c r="F11" s="105"/>
      <c r="G11" s="105"/>
      <c r="H11" s="101"/>
      <c r="I11" s="101"/>
      <c r="J11" s="108"/>
      <c r="K11" s="427"/>
      <c r="L11" s="428"/>
      <c r="M11" s="100"/>
      <c r="N11" s="68"/>
      <c r="O11" s="68"/>
      <c r="P11" s="68"/>
      <c r="Q11" s="109"/>
      <c r="R11" s="109"/>
      <c r="S11" s="68"/>
      <c r="T11" s="68"/>
      <c r="U11" s="68"/>
    </row>
    <row r="12" spans="2:27" ht="21" outlineLevel="1">
      <c r="B12" s="105" t="s">
        <v>151</v>
      </c>
      <c r="C12" s="106">
        <v>3000</v>
      </c>
      <c r="D12" s="106">
        <v>1500</v>
      </c>
      <c r="E12" s="107">
        <v>4500</v>
      </c>
      <c r="F12" s="105"/>
      <c r="G12" s="105"/>
      <c r="H12" s="101"/>
      <c r="I12" s="101"/>
      <c r="J12" s="108"/>
      <c r="K12" s="427"/>
      <c r="L12" s="428"/>
      <c r="M12" s="100"/>
      <c r="N12" s="68"/>
      <c r="O12" s="68"/>
      <c r="P12" s="68"/>
      <c r="Q12" s="109"/>
      <c r="R12" s="109"/>
      <c r="S12" s="68"/>
      <c r="T12" s="68"/>
      <c r="U12" s="68"/>
    </row>
    <row r="13" spans="2:27" ht="21" outlineLevel="1">
      <c r="B13" s="105" t="s">
        <v>152</v>
      </c>
      <c r="C13" s="106">
        <v>3000</v>
      </c>
      <c r="D13" s="106">
        <v>2000</v>
      </c>
      <c r="E13" s="107">
        <v>5000</v>
      </c>
      <c r="F13" s="105"/>
      <c r="G13" s="105"/>
      <c r="H13" s="101"/>
      <c r="I13" s="101"/>
      <c r="J13" s="108"/>
      <c r="K13" s="427"/>
      <c r="L13" s="428"/>
      <c r="M13" s="100"/>
      <c r="N13" s="68"/>
      <c r="O13" s="68"/>
      <c r="P13" s="68"/>
      <c r="Q13" s="109"/>
      <c r="R13" s="109"/>
      <c r="S13" s="68"/>
      <c r="T13" s="68"/>
      <c r="U13" s="68"/>
    </row>
    <row r="14" spans="2:27" ht="21" outlineLevel="1">
      <c r="B14" s="105" t="s">
        <v>153</v>
      </c>
      <c r="C14" s="106">
        <v>3000</v>
      </c>
      <c r="D14" s="106">
        <v>2500</v>
      </c>
      <c r="E14" s="107">
        <v>5500</v>
      </c>
      <c r="F14" s="105"/>
      <c r="G14" s="105"/>
      <c r="H14" s="101"/>
      <c r="I14" s="101"/>
      <c r="J14" s="108"/>
      <c r="K14" s="427"/>
      <c r="L14" s="428"/>
      <c r="M14" s="100"/>
      <c r="N14" s="68"/>
      <c r="O14" s="68"/>
      <c r="P14" s="68"/>
      <c r="Q14" s="109"/>
      <c r="R14" s="109"/>
      <c r="S14" s="68"/>
      <c r="T14" s="68"/>
      <c r="U14" s="68"/>
    </row>
    <row r="15" spans="2:27" ht="21" outlineLevel="1">
      <c r="B15" s="105" t="s">
        <v>154</v>
      </c>
      <c r="C15" s="106">
        <v>3000</v>
      </c>
      <c r="D15" s="106">
        <v>3000</v>
      </c>
      <c r="E15" s="107">
        <v>6000</v>
      </c>
      <c r="F15" s="105"/>
      <c r="G15" s="105"/>
      <c r="H15" s="101"/>
      <c r="I15" s="101"/>
      <c r="J15" s="108"/>
      <c r="K15" s="427"/>
      <c r="L15" s="428"/>
      <c r="M15" s="100"/>
      <c r="N15" s="68"/>
      <c r="O15" s="68"/>
      <c r="P15" s="68"/>
      <c r="Q15" s="109"/>
      <c r="R15" s="109"/>
      <c r="S15" s="68"/>
      <c r="T15" s="68"/>
      <c r="U15" s="68"/>
    </row>
    <row r="16" spans="2:27" ht="21" outlineLevel="1">
      <c r="B16" s="105" t="s">
        <v>155</v>
      </c>
      <c r="C16" s="106">
        <v>3000</v>
      </c>
      <c r="D16" s="106">
        <v>3500</v>
      </c>
      <c r="E16" s="107">
        <v>6500</v>
      </c>
      <c r="F16" s="105"/>
      <c r="G16" s="105"/>
      <c r="H16" s="101"/>
      <c r="I16" s="101"/>
      <c r="J16" s="108"/>
      <c r="K16" s="427"/>
      <c r="L16" s="428"/>
      <c r="M16" s="100"/>
      <c r="N16" s="68"/>
      <c r="O16" s="68"/>
      <c r="P16" s="68"/>
      <c r="Q16" s="109"/>
      <c r="R16" s="109"/>
      <c r="S16" s="68"/>
      <c r="T16" s="68"/>
      <c r="U16" s="68"/>
    </row>
    <row r="17" spans="2:21" ht="21" outlineLevel="1">
      <c r="B17" s="105" t="s">
        <v>156</v>
      </c>
      <c r="C17" s="106">
        <v>3000</v>
      </c>
      <c r="D17" s="106">
        <v>4000</v>
      </c>
      <c r="E17" s="107">
        <v>7000</v>
      </c>
      <c r="F17" s="105"/>
      <c r="G17" s="105"/>
      <c r="H17" s="101"/>
      <c r="I17" s="101"/>
      <c r="J17" s="108"/>
      <c r="K17" s="427"/>
      <c r="L17" s="428"/>
      <c r="M17" s="100"/>
      <c r="N17" s="68"/>
      <c r="O17" s="68"/>
      <c r="P17" s="68"/>
      <c r="Q17" s="109"/>
      <c r="R17" s="109"/>
      <c r="S17" s="68"/>
      <c r="T17" s="68"/>
      <c r="U17" s="68"/>
    </row>
    <row r="18" spans="2:21" ht="21" outlineLevel="1">
      <c r="B18" s="105" t="s">
        <v>157</v>
      </c>
      <c r="C18" s="106">
        <v>3000</v>
      </c>
      <c r="D18" s="106">
        <v>4500</v>
      </c>
      <c r="E18" s="107">
        <v>7500</v>
      </c>
      <c r="F18" s="105"/>
      <c r="G18" s="105"/>
      <c r="H18" s="101"/>
      <c r="I18" s="101"/>
      <c r="J18" s="108"/>
      <c r="K18" s="427"/>
      <c r="L18" s="428"/>
      <c r="M18" s="100"/>
      <c r="N18" s="68"/>
      <c r="O18" s="68"/>
      <c r="P18" s="68"/>
      <c r="Q18" s="109"/>
      <c r="R18" s="109"/>
      <c r="S18" s="68"/>
      <c r="T18" s="68"/>
      <c r="U18" s="68"/>
    </row>
    <row r="19" spans="2:21" ht="21" outlineLevel="1">
      <c r="B19" s="105" t="s">
        <v>158</v>
      </c>
      <c r="C19" s="106">
        <v>3000</v>
      </c>
      <c r="D19" s="106">
        <v>5000</v>
      </c>
      <c r="E19" s="107">
        <v>8000</v>
      </c>
      <c r="F19" s="105"/>
      <c r="G19" s="110" t="s">
        <v>159</v>
      </c>
      <c r="H19" s="101"/>
      <c r="I19" s="101"/>
      <c r="J19" s="108"/>
      <c r="K19" s="427"/>
      <c r="L19" s="428"/>
      <c r="M19" s="100"/>
      <c r="N19" s="68"/>
      <c r="O19" s="68"/>
      <c r="P19" s="68"/>
      <c r="Q19" s="109"/>
      <c r="R19" s="109"/>
      <c r="S19" s="68"/>
      <c r="T19" s="68"/>
      <c r="U19" s="111"/>
    </row>
    <row r="20" spans="2:21" ht="21" outlineLevel="1">
      <c r="B20" s="105" t="s">
        <v>160</v>
      </c>
      <c r="C20" s="106">
        <v>3000</v>
      </c>
      <c r="D20" s="106">
        <v>5500</v>
      </c>
      <c r="E20" s="107">
        <v>8500</v>
      </c>
      <c r="F20" s="105"/>
      <c r="G20" s="105"/>
      <c r="H20" s="101"/>
      <c r="I20" s="101"/>
      <c r="J20" s="108"/>
      <c r="K20" s="427"/>
      <c r="L20" s="428"/>
      <c r="M20" s="100"/>
      <c r="N20" s="68"/>
      <c r="O20" s="68"/>
      <c r="P20" s="68"/>
      <c r="Q20" s="109"/>
      <c r="R20" s="109"/>
      <c r="S20" s="68"/>
      <c r="T20" s="68"/>
      <c r="U20" s="68"/>
    </row>
    <row r="21" spans="2:21" ht="21" outlineLevel="1">
      <c r="B21" s="105" t="s">
        <v>161</v>
      </c>
      <c r="C21" s="106">
        <v>3000</v>
      </c>
      <c r="D21" s="106">
        <v>6000</v>
      </c>
      <c r="E21" s="107">
        <v>9000</v>
      </c>
      <c r="F21" s="105"/>
      <c r="G21" s="105"/>
      <c r="H21" s="101"/>
      <c r="I21" s="101"/>
      <c r="J21" s="108"/>
      <c r="K21" s="427"/>
      <c r="L21" s="428"/>
      <c r="M21" s="100"/>
      <c r="N21" s="111"/>
      <c r="O21" s="111"/>
      <c r="P21" s="68"/>
      <c r="Q21" s="109"/>
      <c r="R21" s="109"/>
      <c r="S21" s="68"/>
      <c r="T21" s="68"/>
      <c r="U21" s="68"/>
    </row>
    <row r="22" spans="2:21" ht="21" outlineLevel="1">
      <c r="B22" s="105" t="s">
        <v>162</v>
      </c>
      <c r="C22" s="106">
        <v>3000</v>
      </c>
      <c r="D22" s="106">
        <v>6500</v>
      </c>
      <c r="E22" s="107">
        <v>9500</v>
      </c>
      <c r="F22" s="110" t="s">
        <v>159</v>
      </c>
      <c r="G22" s="105"/>
      <c r="H22" s="101"/>
      <c r="I22" s="101"/>
      <c r="J22" s="108"/>
      <c r="K22" s="427"/>
      <c r="L22" s="428"/>
      <c r="M22" s="100"/>
      <c r="N22" s="111"/>
      <c r="O22" s="111"/>
      <c r="P22" s="68"/>
      <c r="Q22" s="109"/>
      <c r="R22" s="109"/>
      <c r="S22" s="68"/>
      <c r="T22" s="111"/>
      <c r="U22" s="68"/>
    </row>
    <row r="23" spans="2:21" ht="21" outlineLevel="1">
      <c r="B23" s="105" t="s">
        <v>163</v>
      </c>
      <c r="C23" s="106">
        <v>3000</v>
      </c>
      <c r="D23" s="106">
        <v>7000</v>
      </c>
      <c r="E23" s="112">
        <v>10000</v>
      </c>
      <c r="F23" s="105"/>
      <c r="G23" s="112" t="s">
        <v>4</v>
      </c>
      <c r="H23" s="101"/>
      <c r="I23" s="101"/>
      <c r="J23" s="108"/>
      <c r="K23" s="427"/>
      <c r="L23" s="428"/>
      <c r="M23" s="68"/>
      <c r="N23" s="68"/>
      <c r="O23" s="68"/>
      <c r="P23" s="68"/>
      <c r="Q23" s="109"/>
      <c r="R23" s="109"/>
      <c r="S23" s="68"/>
      <c r="T23" s="68"/>
      <c r="U23" s="68"/>
    </row>
    <row r="24" spans="2:21" ht="21" outlineLevel="1">
      <c r="B24" s="105" t="s">
        <v>164</v>
      </c>
      <c r="C24" s="106">
        <v>3000</v>
      </c>
      <c r="D24" s="106">
        <v>8000</v>
      </c>
      <c r="E24" s="107">
        <v>11000</v>
      </c>
      <c r="F24" s="105"/>
      <c r="G24" s="110" t="s">
        <v>165</v>
      </c>
      <c r="H24" s="101"/>
      <c r="I24" s="101"/>
      <c r="J24" s="108"/>
      <c r="K24" s="427"/>
      <c r="L24" s="428"/>
      <c r="M24" s="68"/>
      <c r="N24" s="68"/>
      <c r="O24" s="68"/>
      <c r="P24" s="68"/>
      <c r="Q24" s="109"/>
      <c r="R24" s="109"/>
      <c r="S24" s="68"/>
      <c r="T24" s="68"/>
      <c r="U24" s="111"/>
    </row>
    <row r="25" spans="2:21" ht="21" outlineLevel="1">
      <c r="B25" s="105" t="s">
        <v>166</v>
      </c>
      <c r="C25" s="106">
        <v>3000</v>
      </c>
      <c r="D25" s="106">
        <v>9000</v>
      </c>
      <c r="E25" s="107">
        <v>12000</v>
      </c>
      <c r="F25" s="105"/>
      <c r="G25" s="105"/>
      <c r="H25" s="101"/>
      <c r="I25" s="101"/>
      <c r="J25" s="108"/>
      <c r="K25" s="427"/>
      <c r="L25" s="428"/>
      <c r="M25" s="68"/>
      <c r="N25" s="68"/>
      <c r="O25" s="68"/>
      <c r="P25" s="68"/>
      <c r="Q25" s="109"/>
      <c r="R25" s="109"/>
      <c r="S25" s="68"/>
      <c r="T25" s="68"/>
      <c r="U25" s="68"/>
    </row>
    <row r="26" spans="2:21" ht="21" outlineLevel="1">
      <c r="B26" s="105" t="s">
        <v>167</v>
      </c>
      <c r="C26" s="106">
        <v>3000</v>
      </c>
      <c r="D26" s="106">
        <v>10000</v>
      </c>
      <c r="E26" s="112">
        <v>13000</v>
      </c>
      <c r="F26" s="112" t="s">
        <v>4</v>
      </c>
      <c r="G26" s="110" t="s">
        <v>168</v>
      </c>
      <c r="H26" s="101"/>
      <c r="I26" s="101"/>
      <c r="J26" s="108"/>
      <c r="K26" s="427"/>
      <c r="L26" s="428"/>
      <c r="M26" s="68"/>
      <c r="N26" s="111"/>
      <c r="O26" s="111"/>
      <c r="P26" s="68"/>
      <c r="Q26" s="109"/>
      <c r="R26" s="109"/>
      <c r="S26" s="68"/>
      <c r="T26" s="111"/>
      <c r="U26" s="111"/>
    </row>
    <row r="27" spans="2:21" ht="21" outlineLevel="1">
      <c r="B27" s="105" t="s">
        <v>169</v>
      </c>
      <c r="C27" s="106">
        <v>3000</v>
      </c>
      <c r="D27" s="106">
        <v>11000</v>
      </c>
      <c r="E27" s="107">
        <v>14000</v>
      </c>
      <c r="F27" s="105"/>
      <c r="G27" s="105"/>
      <c r="H27" s="101"/>
      <c r="I27" s="101"/>
      <c r="J27" s="108"/>
      <c r="K27" s="427"/>
      <c r="L27" s="428"/>
      <c r="M27" s="68"/>
      <c r="N27" s="111"/>
      <c r="O27" s="111"/>
      <c r="P27" s="68"/>
      <c r="Q27" s="109"/>
      <c r="R27" s="109"/>
      <c r="S27" s="68"/>
      <c r="T27" s="68"/>
      <c r="U27" s="68"/>
    </row>
    <row r="28" spans="2:21" ht="21" outlineLevel="1">
      <c r="B28" s="105" t="s">
        <v>97</v>
      </c>
      <c r="C28" s="106">
        <v>3000</v>
      </c>
      <c r="D28" s="106">
        <v>12000</v>
      </c>
      <c r="E28" s="107">
        <v>15000</v>
      </c>
      <c r="F28" s="110" t="s">
        <v>168</v>
      </c>
      <c r="G28" s="105"/>
      <c r="H28" s="101"/>
      <c r="I28" s="101"/>
      <c r="J28" s="108"/>
      <c r="K28" s="427"/>
      <c r="L28" s="428"/>
      <c r="M28" s="68"/>
      <c r="N28" s="111"/>
      <c r="O28" s="111"/>
      <c r="P28" s="68"/>
      <c r="Q28" s="109"/>
      <c r="R28" s="109"/>
      <c r="S28" s="68"/>
      <c r="T28" s="111"/>
      <c r="U28" s="68"/>
    </row>
    <row r="29" spans="2:21" ht="21" outlineLevel="1">
      <c r="B29" s="105" t="s">
        <v>98</v>
      </c>
      <c r="C29" s="106">
        <v>3000</v>
      </c>
      <c r="D29" s="106">
        <v>13000</v>
      </c>
      <c r="E29" s="107">
        <v>16000</v>
      </c>
      <c r="F29" s="105"/>
      <c r="G29" s="105"/>
      <c r="H29" s="101"/>
      <c r="I29" s="101"/>
      <c r="J29" s="108"/>
      <c r="K29" s="427"/>
      <c r="L29" s="428"/>
      <c r="M29" s="68"/>
      <c r="N29" s="111"/>
      <c r="O29" s="111"/>
      <c r="P29" s="68"/>
      <c r="Q29" s="109"/>
      <c r="R29" s="109"/>
      <c r="S29" s="68"/>
      <c r="T29" s="68"/>
      <c r="U29" s="68"/>
    </row>
    <row r="30" spans="2:21" ht="21" outlineLevel="1">
      <c r="B30" s="105" t="s">
        <v>99</v>
      </c>
      <c r="C30" s="106">
        <v>3000</v>
      </c>
      <c r="D30" s="106">
        <v>14000</v>
      </c>
      <c r="E30" s="107">
        <v>17000</v>
      </c>
      <c r="F30" s="105"/>
      <c r="G30" s="105"/>
      <c r="H30" s="101"/>
      <c r="I30" s="101"/>
      <c r="J30" s="108"/>
      <c r="K30" s="429"/>
      <c r="L30" s="430"/>
      <c r="M30" s="68"/>
      <c r="N30" s="111"/>
      <c r="O30" s="111"/>
      <c r="P30" s="68"/>
      <c r="Q30" s="109"/>
      <c r="R30" s="109"/>
      <c r="S30" s="68"/>
      <c r="T30" s="68"/>
      <c r="U30" s="68"/>
    </row>
    <row r="32" spans="2:21" ht="50">
      <c r="B32" s="58" t="s">
        <v>113</v>
      </c>
    </row>
    <row r="34" spans="2:30" s="54" customFormat="1" ht="28" customHeight="1" thickBot="1">
      <c r="B34" s="193" t="s">
        <v>342</v>
      </c>
      <c r="C34" s="193"/>
      <c r="D34" s="193"/>
      <c r="E34" s="193"/>
      <c r="F34" s="193"/>
      <c r="G34" s="193"/>
      <c r="H34" s="193"/>
      <c r="I34" s="193"/>
      <c r="J34" s="193"/>
      <c r="K34" s="193"/>
      <c r="L34" s="193"/>
      <c r="M34" s="193"/>
      <c r="N34" s="193"/>
      <c r="O34" s="193"/>
      <c r="P34" s="193"/>
      <c r="Q34" s="192"/>
      <c r="R34" s="192"/>
      <c r="S34" s="192"/>
      <c r="T34" s="192"/>
      <c r="U34" s="192"/>
      <c r="V34" s="192"/>
      <c r="W34" s="192"/>
      <c r="X34" s="55"/>
      <c r="Y34" s="55"/>
      <c r="Z34" s="55"/>
      <c r="AA34" s="55"/>
    </row>
    <row r="35" spans="2:30" ht="28" customHeight="1" thickBot="1">
      <c r="B35" s="194" t="s">
        <v>444</v>
      </c>
      <c r="C35" s="218"/>
      <c r="D35" s="218"/>
      <c r="E35" s="218"/>
      <c r="F35" s="218"/>
      <c r="G35" s="218"/>
      <c r="H35" s="218"/>
      <c r="I35" s="218"/>
      <c r="J35" s="218"/>
      <c r="K35" s="218"/>
      <c r="L35" s="218"/>
      <c r="M35" s="218"/>
      <c r="N35" s="218"/>
      <c r="O35" s="218"/>
      <c r="P35" s="218"/>
      <c r="Q35" s="192"/>
      <c r="R35" s="192"/>
      <c r="S35" s="192"/>
      <c r="T35" s="192"/>
      <c r="U35" s="192"/>
      <c r="V35" s="192"/>
      <c r="W35" s="192"/>
      <c r="AD35" s="54"/>
    </row>
    <row r="36" spans="2:30" ht="16" customHeight="1" thickBot="1">
      <c r="B36" s="113"/>
      <c r="C36" s="114"/>
      <c r="D36" s="115"/>
      <c r="E36" s="115"/>
      <c r="F36" s="115"/>
      <c r="G36" s="115"/>
      <c r="H36" s="115"/>
      <c r="I36" s="115"/>
      <c r="J36" s="115"/>
      <c r="K36" s="115"/>
      <c r="L36" s="115"/>
      <c r="M36" s="115"/>
      <c r="N36" s="115"/>
      <c r="O36" s="115"/>
      <c r="P36" s="115"/>
      <c r="Q36" s="192"/>
      <c r="R36" s="192"/>
      <c r="S36" s="192"/>
      <c r="T36" s="192"/>
      <c r="U36" s="192"/>
      <c r="V36" s="192"/>
      <c r="W36" s="192"/>
      <c r="AB36" s="92"/>
    </row>
    <row r="37" spans="2:30" ht="28" customHeight="1">
      <c r="B37" s="431" t="s">
        <v>1</v>
      </c>
      <c r="C37" s="432"/>
      <c r="D37" s="432"/>
      <c r="E37" s="432"/>
      <c r="F37" s="432"/>
      <c r="G37" s="432"/>
      <c r="H37" s="432"/>
      <c r="I37" s="115"/>
      <c r="J37" s="432" t="s">
        <v>170</v>
      </c>
      <c r="K37" s="432"/>
      <c r="L37" s="115"/>
      <c r="M37" s="433" t="s">
        <v>114</v>
      </c>
      <c r="N37" s="434"/>
      <c r="O37" s="86"/>
      <c r="P37" s="375" t="s">
        <v>395</v>
      </c>
      <c r="Q37" s="192"/>
      <c r="R37" s="192"/>
      <c r="S37" s="192"/>
      <c r="T37" s="192"/>
      <c r="U37" s="192"/>
      <c r="V37" s="192"/>
      <c r="W37" s="192"/>
      <c r="AB37" s="117"/>
      <c r="AC37" s="117"/>
    </row>
    <row r="38" spans="2:30" ht="30" customHeight="1">
      <c r="B38" s="409" t="s">
        <v>80</v>
      </c>
      <c r="C38" s="410"/>
      <c r="D38" s="410" t="s">
        <v>171</v>
      </c>
      <c r="E38" s="410"/>
      <c r="F38" s="410" t="s">
        <v>7</v>
      </c>
      <c r="G38" s="410"/>
      <c r="H38" s="410"/>
      <c r="J38" s="77" t="s">
        <v>119</v>
      </c>
      <c r="K38" s="77" t="s">
        <v>135</v>
      </c>
      <c r="M38" s="435"/>
      <c r="N38" s="386"/>
      <c r="O38" s="130"/>
      <c r="P38" s="376"/>
      <c r="U38" s="116"/>
      <c r="X38" s="116"/>
      <c r="AB38" s="402"/>
      <c r="AC38" s="402"/>
    </row>
    <row r="39" spans="2:30" ht="44" customHeight="1">
      <c r="B39" s="409"/>
      <c r="C39" s="410"/>
      <c r="D39" s="121" t="s">
        <v>83</v>
      </c>
      <c r="E39" s="121" t="s">
        <v>84</v>
      </c>
      <c r="F39" s="77" t="s">
        <v>172</v>
      </c>
      <c r="G39" s="77" t="s">
        <v>183</v>
      </c>
      <c r="H39" s="77" t="s">
        <v>174</v>
      </c>
      <c r="J39" s="81" t="s">
        <v>122</v>
      </c>
      <c r="K39" s="81" t="s">
        <v>123</v>
      </c>
      <c r="M39" s="77" t="s">
        <v>78</v>
      </c>
      <c r="N39" s="77" t="s">
        <v>121</v>
      </c>
      <c r="O39" s="131"/>
      <c r="P39" s="407" t="s">
        <v>457</v>
      </c>
      <c r="U39" s="123"/>
      <c r="X39" s="123"/>
      <c r="AB39" s="124"/>
      <c r="AC39" s="124"/>
    </row>
    <row r="40" spans="2:30" ht="25" customHeight="1">
      <c r="B40" s="403" t="s">
        <v>393</v>
      </c>
      <c r="C40" s="404"/>
      <c r="D40" s="330" t="s">
        <v>447</v>
      </c>
      <c r="E40" s="332">
        <v>0</v>
      </c>
      <c r="F40" s="80">
        <v>1</v>
      </c>
      <c r="G40" s="80">
        <v>0.8</v>
      </c>
      <c r="H40" s="81">
        <v>0.25</v>
      </c>
      <c r="I40" s="125"/>
      <c r="J40" s="404" t="s">
        <v>450</v>
      </c>
      <c r="K40" s="404"/>
      <c r="M40" s="81" t="s">
        <v>125</v>
      </c>
      <c r="N40" s="81">
        <v>9000</v>
      </c>
      <c r="O40" s="88"/>
      <c r="P40" s="407"/>
      <c r="U40" s="124"/>
      <c r="X40" s="90"/>
      <c r="AB40" s="124"/>
      <c r="AC40" s="126"/>
      <c r="AD40" s="124"/>
    </row>
    <row r="41" spans="2:30" ht="25" customHeight="1">
      <c r="B41" s="403"/>
      <c r="C41" s="404"/>
      <c r="D41" s="331"/>
      <c r="E41" s="333"/>
      <c r="F41" s="404" t="s">
        <v>386</v>
      </c>
      <c r="G41" s="404"/>
      <c r="H41" s="404"/>
      <c r="J41" s="404"/>
      <c r="K41" s="404"/>
      <c r="M41" s="81" t="s">
        <v>127</v>
      </c>
      <c r="N41" s="81">
        <v>7500</v>
      </c>
      <c r="O41" s="88"/>
      <c r="P41" s="407"/>
      <c r="U41" s="124"/>
      <c r="X41" s="90"/>
      <c r="AB41" s="124"/>
      <c r="AC41" s="126"/>
      <c r="AD41" s="124"/>
    </row>
    <row r="42" spans="2:30" ht="25" customHeight="1">
      <c r="B42" s="403"/>
      <c r="C42" s="404"/>
      <c r="D42" s="180" t="s">
        <v>75</v>
      </c>
      <c r="E42" s="181">
        <v>0.25</v>
      </c>
      <c r="F42" s="404"/>
      <c r="G42" s="404"/>
      <c r="H42" s="404"/>
      <c r="J42" s="404"/>
      <c r="K42" s="404"/>
      <c r="M42" s="81" t="s">
        <v>129</v>
      </c>
      <c r="N42" s="81">
        <v>6000</v>
      </c>
      <c r="O42" s="90"/>
      <c r="P42" s="407"/>
      <c r="U42" s="124"/>
      <c r="X42" s="90"/>
      <c r="AB42" s="124"/>
      <c r="AC42" s="126"/>
      <c r="AD42" s="124"/>
    </row>
    <row r="43" spans="2:30" ht="25" customHeight="1">
      <c r="B43" s="403"/>
      <c r="C43" s="404"/>
      <c r="D43" s="180" t="s">
        <v>76</v>
      </c>
      <c r="E43" s="181">
        <v>0.5</v>
      </c>
      <c r="F43" s="404"/>
      <c r="G43" s="404"/>
      <c r="H43" s="404"/>
      <c r="J43" s="404"/>
      <c r="K43" s="404"/>
      <c r="M43" s="81" t="s">
        <v>131</v>
      </c>
      <c r="N43" s="81">
        <v>4500</v>
      </c>
      <c r="O43" s="90"/>
      <c r="P43" s="407"/>
      <c r="U43" s="124"/>
      <c r="X43" s="90"/>
      <c r="AB43" s="124"/>
      <c r="AC43" s="126"/>
      <c r="AD43" s="124"/>
    </row>
    <row r="44" spans="2:30" ht="25" customHeight="1">
      <c r="B44" s="403"/>
      <c r="C44" s="404"/>
      <c r="D44" s="318" t="s">
        <v>389</v>
      </c>
      <c r="E44" s="319"/>
      <c r="F44" s="404"/>
      <c r="G44" s="404"/>
      <c r="H44" s="404"/>
      <c r="J44" s="404"/>
      <c r="K44" s="404"/>
      <c r="M44" s="81" t="s">
        <v>133</v>
      </c>
      <c r="N44" s="81">
        <v>3000</v>
      </c>
      <c r="O44" s="90"/>
      <c r="P44" s="407"/>
      <c r="U44" s="127"/>
      <c r="X44" s="127"/>
      <c r="AB44" s="124"/>
      <c r="AC44" s="126"/>
      <c r="AD44" s="124"/>
    </row>
    <row r="45" spans="2:30" ht="39" customHeight="1">
      <c r="B45" s="403"/>
      <c r="C45" s="404"/>
      <c r="D45" s="320"/>
      <c r="E45" s="321"/>
      <c r="F45" s="404"/>
      <c r="G45" s="404"/>
      <c r="H45" s="404"/>
      <c r="J45" s="404"/>
      <c r="K45" s="404"/>
      <c r="M45" s="404" t="s">
        <v>451</v>
      </c>
      <c r="N45" s="404"/>
      <c r="O45" s="89"/>
      <c r="P45" s="407"/>
      <c r="U45" s="127"/>
      <c r="X45" s="127"/>
      <c r="AB45" s="406"/>
      <c r="AC45" s="406"/>
    </row>
    <row r="46" spans="2:30" ht="67" customHeight="1">
      <c r="B46" s="403"/>
      <c r="C46" s="404"/>
      <c r="D46" s="320"/>
      <c r="E46" s="321"/>
      <c r="F46" s="404"/>
      <c r="G46" s="404"/>
      <c r="H46" s="404"/>
      <c r="J46" s="404"/>
      <c r="K46" s="404"/>
      <c r="M46" s="404"/>
      <c r="N46" s="404"/>
      <c r="O46" s="89"/>
      <c r="P46" s="407"/>
      <c r="U46" s="127"/>
      <c r="X46" s="127"/>
      <c r="AB46" s="406"/>
      <c r="AC46" s="406"/>
    </row>
    <row r="47" spans="2:30" ht="65" customHeight="1">
      <c r="B47" s="403"/>
      <c r="C47" s="404"/>
      <c r="D47" s="320"/>
      <c r="E47" s="321"/>
      <c r="F47" s="404"/>
      <c r="G47" s="404"/>
      <c r="H47" s="404"/>
      <c r="J47" s="404"/>
      <c r="K47" s="404"/>
      <c r="M47" s="404"/>
      <c r="N47" s="404"/>
      <c r="O47" s="89"/>
      <c r="P47" s="407"/>
      <c r="U47" s="127"/>
      <c r="X47" s="127"/>
      <c r="AB47" s="406"/>
      <c r="AC47" s="406"/>
    </row>
    <row r="48" spans="2:30" ht="116" customHeight="1">
      <c r="B48" s="348"/>
      <c r="C48" s="436"/>
      <c r="D48" s="320"/>
      <c r="E48" s="321"/>
      <c r="F48" s="436"/>
      <c r="G48" s="436"/>
      <c r="H48" s="436"/>
      <c r="J48" s="436"/>
      <c r="K48" s="436"/>
      <c r="M48" s="404"/>
      <c r="N48" s="404"/>
      <c r="O48" s="89"/>
      <c r="P48" s="407"/>
      <c r="U48" s="127"/>
      <c r="X48" s="127"/>
      <c r="AB48" s="406"/>
      <c r="AC48" s="406"/>
    </row>
    <row r="49" spans="2:24" ht="112" customHeight="1">
      <c r="B49" s="437" t="s">
        <v>378</v>
      </c>
      <c r="C49" s="437"/>
      <c r="D49" s="437"/>
      <c r="E49" s="437"/>
      <c r="F49" s="437"/>
      <c r="G49" s="437"/>
      <c r="H49" s="437"/>
      <c r="I49" s="437"/>
      <c r="J49" s="437"/>
      <c r="K49" s="437"/>
      <c r="L49" s="437"/>
      <c r="M49" s="437"/>
      <c r="N49" s="437"/>
      <c r="O49" s="437"/>
      <c r="P49" s="437"/>
      <c r="U49" s="127"/>
      <c r="X49" s="127"/>
    </row>
    <row r="50" spans="2:24">
      <c r="B50" s="129"/>
      <c r="C50" s="129"/>
      <c r="D50" s="129"/>
      <c r="E50" s="129"/>
      <c r="F50" s="129"/>
      <c r="G50" s="129"/>
      <c r="H50" s="129"/>
      <c r="I50" s="129"/>
      <c r="J50" s="129"/>
      <c r="K50" s="129"/>
      <c r="L50" s="129"/>
      <c r="M50" s="129"/>
      <c r="N50" s="129"/>
      <c r="O50" s="129"/>
      <c r="P50" s="129"/>
      <c r="U50" s="127"/>
      <c r="X50" s="127"/>
    </row>
    <row r="51" spans="2:24">
      <c r="J51" s="86"/>
      <c r="K51" s="86"/>
      <c r="L51" s="86"/>
      <c r="M51" s="86"/>
      <c r="N51" s="86"/>
      <c r="O51" s="86"/>
      <c r="P51" s="116"/>
      <c r="Q51" s="116"/>
      <c r="S51" s="92"/>
    </row>
  </sheetData>
  <mergeCells count="26">
    <mergeCell ref="B49:P49"/>
    <mergeCell ref="AB38:AC38"/>
    <mergeCell ref="AB45:AC48"/>
    <mergeCell ref="M37:N38"/>
    <mergeCell ref="B40:C48"/>
    <mergeCell ref="J40:K48"/>
    <mergeCell ref="F41:H48"/>
    <mergeCell ref="D44:E48"/>
    <mergeCell ref="M45:N48"/>
    <mergeCell ref="D40:D41"/>
    <mergeCell ref="E40:E41"/>
    <mergeCell ref="B38:C39"/>
    <mergeCell ref="D38:E38"/>
    <mergeCell ref="P39:P48"/>
    <mergeCell ref="F38:H38"/>
    <mergeCell ref="P37:P38"/>
    <mergeCell ref="B2:Z2"/>
    <mergeCell ref="D5:E5"/>
    <mergeCell ref="D6:E6"/>
    <mergeCell ref="B7:G7"/>
    <mergeCell ref="P7:U7"/>
    <mergeCell ref="K8:L8"/>
    <mergeCell ref="B5:B6"/>
    <mergeCell ref="K9:L30"/>
    <mergeCell ref="B37:H37"/>
    <mergeCell ref="J37:K37"/>
  </mergeCells>
  <phoneticPr fontId="80" type="noConversion"/>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sheetPr>
  <dimension ref="B2:S47"/>
  <sheetViews>
    <sheetView showGridLines="0" topLeftCell="A2" workbookViewId="0">
      <selection activeCell="A48" sqref="A48:XFD109"/>
    </sheetView>
  </sheetViews>
  <sheetFormatPr baseColWidth="10" defaultColWidth="11" defaultRowHeight="18" outlineLevelRow="2"/>
  <cols>
    <col min="1" max="1" width="2.83203125" style="55" customWidth="1"/>
    <col min="2" max="2" width="21.6640625" style="55" customWidth="1"/>
    <col min="3" max="3" width="28.83203125" style="55" customWidth="1"/>
    <col min="4" max="4" width="34.83203125" style="55" customWidth="1"/>
    <col min="5" max="5" width="39" style="55" customWidth="1"/>
    <col min="6" max="7" width="25" style="55" customWidth="1"/>
    <col min="8" max="8" width="22" style="55" customWidth="1"/>
    <col min="9" max="9" width="8" style="55" customWidth="1"/>
    <col min="10" max="10" width="12" style="55" customWidth="1"/>
    <col min="11" max="11" width="31.5" style="55" customWidth="1"/>
    <col min="12" max="12" width="12.1640625" style="55" customWidth="1"/>
    <col min="13" max="14" width="16.5" style="55" customWidth="1"/>
    <col min="15" max="15" width="12.5" style="55" customWidth="1"/>
    <col min="16" max="16" width="4.5" style="55" customWidth="1"/>
    <col min="17" max="17" width="19.33203125" style="55" customWidth="1"/>
    <col min="18" max="18" width="16.5" style="55" customWidth="1"/>
    <col min="19" max="19" width="14.1640625" style="55" customWidth="1"/>
    <col min="20" max="16384" width="11" style="55"/>
  </cols>
  <sheetData>
    <row r="2" spans="2:19" ht="51" thickBot="1">
      <c r="B2" s="56" t="s">
        <v>184</v>
      </c>
      <c r="C2" s="57"/>
      <c r="D2" s="57"/>
      <c r="E2" s="57"/>
      <c r="F2" s="57"/>
      <c r="G2" s="57"/>
      <c r="H2" s="57"/>
      <c r="I2" s="57"/>
      <c r="J2" s="57"/>
      <c r="K2" s="57"/>
      <c r="L2" s="57"/>
      <c r="M2" s="57"/>
      <c r="N2" s="57"/>
      <c r="O2" s="57"/>
      <c r="P2" s="57"/>
      <c r="Q2" s="57"/>
      <c r="R2" s="57"/>
      <c r="S2" s="57"/>
    </row>
    <row r="3" spans="2:19" ht="51" thickBot="1">
      <c r="B3" s="58" t="s">
        <v>185</v>
      </c>
    </row>
    <row r="4" spans="2:19" ht="22" outlineLevel="1">
      <c r="B4" s="399" t="s">
        <v>139</v>
      </c>
      <c r="C4" s="97" t="s">
        <v>140</v>
      </c>
      <c r="D4" s="393" t="s">
        <v>141</v>
      </c>
      <c r="E4" s="394"/>
    </row>
    <row r="5" spans="2:19" ht="23" outlineLevel="1" thickBot="1">
      <c r="B5" s="400"/>
      <c r="C5" s="99" t="s">
        <v>142</v>
      </c>
      <c r="D5" s="395" t="s">
        <v>143</v>
      </c>
      <c r="E5" s="396"/>
    </row>
    <row r="6" spans="2:19" ht="29" customHeight="1" outlineLevel="1" thickBot="1">
      <c r="B6" s="58"/>
      <c r="H6" s="441" t="s">
        <v>186</v>
      </c>
      <c r="I6" s="442"/>
    </row>
    <row r="7" spans="2:19" ht="39" customHeight="1" outlineLevel="2">
      <c r="B7" s="52" t="s">
        <v>91</v>
      </c>
      <c r="C7" s="52" t="s">
        <v>92</v>
      </c>
      <c r="D7" s="52" t="s">
        <v>94</v>
      </c>
      <c r="E7" s="59" t="s">
        <v>144</v>
      </c>
      <c r="F7" s="60" t="s">
        <v>187</v>
      </c>
      <c r="G7" s="60" t="s">
        <v>188</v>
      </c>
      <c r="H7" s="61" t="s">
        <v>189</v>
      </c>
      <c r="I7" s="62" t="s">
        <v>190</v>
      </c>
      <c r="K7" s="424" t="s">
        <v>147</v>
      </c>
      <c r="L7" s="424"/>
      <c r="M7" s="424"/>
      <c r="N7" s="424"/>
    </row>
    <row r="8" spans="2:19" ht="110" customHeight="1" outlineLevel="2">
      <c r="B8" s="64" t="s">
        <v>148</v>
      </c>
      <c r="C8" s="64">
        <v>3000</v>
      </c>
      <c r="D8" s="64">
        <v>0</v>
      </c>
      <c r="E8" s="65">
        <v>3000</v>
      </c>
      <c r="F8" s="64"/>
      <c r="G8" s="64"/>
      <c r="H8" s="66"/>
      <c r="I8" s="67"/>
      <c r="K8" s="401" t="s">
        <v>461</v>
      </c>
      <c r="L8" s="401"/>
      <c r="M8" s="401"/>
      <c r="N8" s="401"/>
    </row>
    <row r="9" spans="2:19" ht="21" customHeight="1" outlineLevel="2">
      <c r="B9" s="64" t="s">
        <v>149</v>
      </c>
      <c r="C9" s="64">
        <v>3000</v>
      </c>
      <c r="D9" s="64">
        <v>500</v>
      </c>
      <c r="E9" s="65">
        <v>3500</v>
      </c>
      <c r="F9" s="64"/>
      <c r="G9" s="64"/>
      <c r="H9" s="66"/>
      <c r="I9" s="67"/>
      <c r="K9" s="401"/>
      <c r="L9" s="401"/>
      <c r="M9" s="401"/>
      <c r="N9" s="401"/>
    </row>
    <row r="10" spans="2:19" ht="21" outlineLevel="2">
      <c r="B10" s="64" t="s">
        <v>150</v>
      </c>
      <c r="C10" s="64">
        <v>3000</v>
      </c>
      <c r="D10" s="64">
        <v>1000</v>
      </c>
      <c r="E10" s="65">
        <v>4000</v>
      </c>
      <c r="F10" s="64"/>
      <c r="G10" s="64"/>
      <c r="H10" s="66"/>
      <c r="I10" s="67"/>
      <c r="J10" s="68"/>
      <c r="K10" s="401"/>
      <c r="L10" s="401"/>
      <c r="M10" s="401"/>
      <c r="N10" s="401"/>
    </row>
    <row r="11" spans="2:19" ht="21" outlineLevel="2">
      <c r="B11" s="64" t="s">
        <v>151</v>
      </c>
      <c r="C11" s="64">
        <v>3000</v>
      </c>
      <c r="D11" s="64">
        <v>1500</v>
      </c>
      <c r="E11" s="65">
        <v>4500</v>
      </c>
      <c r="F11" s="64"/>
      <c r="G11" s="64"/>
      <c r="H11" s="66"/>
      <c r="I11" s="67"/>
      <c r="J11" s="68"/>
      <c r="K11" s="401"/>
      <c r="L11" s="401"/>
      <c r="M11" s="401"/>
      <c r="N11" s="401"/>
    </row>
    <row r="12" spans="2:19" ht="21" outlineLevel="2">
      <c r="B12" s="64" t="s">
        <v>152</v>
      </c>
      <c r="C12" s="64">
        <v>3000</v>
      </c>
      <c r="D12" s="64">
        <v>2000</v>
      </c>
      <c r="E12" s="65">
        <v>5000</v>
      </c>
      <c r="F12" s="64"/>
      <c r="G12" s="64"/>
      <c r="H12" s="69"/>
      <c r="I12" s="70" t="s">
        <v>159</v>
      </c>
      <c r="J12" s="68"/>
      <c r="K12" s="401"/>
      <c r="L12" s="401"/>
      <c r="M12" s="401"/>
      <c r="N12" s="401"/>
    </row>
    <row r="13" spans="2:19" ht="21" outlineLevel="2">
      <c r="B13" s="64" t="s">
        <v>153</v>
      </c>
      <c r="C13" s="64">
        <v>3000</v>
      </c>
      <c r="D13" s="64">
        <v>2500</v>
      </c>
      <c r="E13" s="65">
        <v>5500</v>
      </c>
      <c r="F13" s="64"/>
      <c r="G13" s="64"/>
      <c r="H13" s="69"/>
      <c r="I13" s="70"/>
      <c r="J13" s="68"/>
      <c r="K13" s="401"/>
      <c r="L13" s="401"/>
      <c r="M13" s="401"/>
      <c r="N13" s="401"/>
    </row>
    <row r="14" spans="2:19" ht="21" outlineLevel="2">
      <c r="B14" s="64" t="s">
        <v>154</v>
      </c>
      <c r="C14" s="64">
        <v>3000</v>
      </c>
      <c r="D14" s="64">
        <v>3000</v>
      </c>
      <c r="E14" s="65">
        <v>6000</v>
      </c>
      <c r="F14" s="64"/>
      <c r="G14" s="64"/>
      <c r="H14" s="69" t="s">
        <v>159</v>
      </c>
      <c r="I14" s="70" t="s">
        <v>6</v>
      </c>
      <c r="J14" s="68"/>
      <c r="K14" s="401"/>
      <c r="L14" s="401"/>
      <c r="M14" s="401"/>
      <c r="N14" s="401"/>
    </row>
    <row r="15" spans="2:19" ht="21" outlineLevel="2">
      <c r="B15" s="64" t="s">
        <v>155</v>
      </c>
      <c r="C15" s="64">
        <v>3000</v>
      </c>
      <c r="D15" s="64">
        <v>3500</v>
      </c>
      <c r="E15" s="65">
        <v>6500</v>
      </c>
      <c r="F15" s="64"/>
      <c r="G15" s="64"/>
      <c r="H15" s="66"/>
      <c r="I15" s="67"/>
      <c r="J15" s="68"/>
      <c r="K15" s="401"/>
      <c r="L15" s="401"/>
      <c r="M15" s="401"/>
      <c r="N15" s="401"/>
    </row>
    <row r="16" spans="2:19" ht="21" outlineLevel="2">
      <c r="B16" s="64" t="s">
        <v>156</v>
      </c>
      <c r="C16" s="64">
        <v>3000</v>
      </c>
      <c r="D16" s="64">
        <v>4000</v>
      </c>
      <c r="E16" s="71">
        <v>7000</v>
      </c>
      <c r="F16" s="64"/>
      <c r="G16" s="71" t="s">
        <v>4</v>
      </c>
      <c r="H16" s="69" t="s">
        <v>6</v>
      </c>
      <c r="I16" s="72"/>
      <c r="J16" s="68"/>
      <c r="K16" s="401"/>
      <c r="L16" s="401"/>
      <c r="M16" s="401"/>
      <c r="N16" s="401"/>
    </row>
    <row r="17" spans="2:19" ht="21" outlineLevel="2">
      <c r="B17" s="64" t="s">
        <v>157</v>
      </c>
      <c r="C17" s="64">
        <v>3000</v>
      </c>
      <c r="D17" s="64">
        <v>4500</v>
      </c>
      <c r="E17" s="65">
        <v>7500</v>
      </c>
      <c r="F17" s="64"/>
      <c r="G17" s="64"/>
      <c r="H17" s="66"/>
      <c r="I17" s="67"/>
      <c r="J17" s="68"/>
      <c r="K17" s="401"/>
      <c r="L17" s="401"/>
      <c r="M17" s="401"/>
      <c r="N17" s="401"/>
    </row>
    <row r="18" spans="2:19" ht="21" outlineLevel="2">
      <c r="B18" s="64" t="s">
        <v>158</v>
      </c>
      <c r="C18" s="64">
        <v>3000</v>
      </c>
      <c r="D18" s="64">
        <v>5000</v>
      </c>
      <c r="E18" s="71">
        <v>8000</v>
      </c>
      <c r="F18" s="71" t="s">
        <v>4</v>
      </c>
      <c r="G18" s="64"/>
      <c r="I18" s="73" t="s">
        <v>4</v>
      </c>
      <c r="J18" s="68"/>
      <c r="K18" s="401"/>
      <c r="L18" s="401"/>
      <c r="M18" s="401"/>
      <c r="N18" s="401"/>
    </row>
    <row r="19" spans="2:19" ht="21" outlineLevel="2">
      <c r="B19" s="64" t="s">
        <v>160</v>
      </c>
      <c r="C19" s="64">
        <v>3000</v>
      </c>
      <c r="D19" s="64">
        <v>5500</v>
      </c>
      <c r="E19" s="65">
        <v>8500</v>
      </c>
      <c r="F19" s="64"/>
      <c r="G19" s="64"/>
      <c r="H19" s="66"/>
      <c r="I19" s="67"/>
      <c r="J19" s="68"/>
      <c r="K19" s="401"/>
      <c r="L19" s="401"/>
      <c r="M19" s="401"/>
      <c r="N19" s="401"/>
    </row>
    <row r="20" spans="2:19" ht="21" outlineLevel="2">
      <c r="B20" s="64" t="s">
        <v>161</v>
      </c>
      <c r="C20" s="64">
        <v>3000</v>
      </c>
      <c r="D20" s="64">
        <v>6000</v>
      </c>
      <c r="E20" s="65">
        <v>9000</v>
      </c>
      <c r="F20" s="64"/>
      <c r="G20" s="64"/>
      <c r="H20" s="74" t="s">
        <v>4</v>
      </c>
      <c r="I20" s="70"/>
      <c r="J20" s="68"/>
      <c r="K20" s="401"/>
      <c r="L20" s="401"/>
      <c r="M20" s="401"/>
      <c r="N20" s="401"/>
    </row>
    <row r="21" spans="2:19" ht="21" outlineLevel="2">
      <c r="B21" s="64" t="s">
        <v>162</v>
      </c>
      <c r="C21" s="64">
        <v>3000</v>
      </c>
      <c r="D21" s="64">
        <v>6500</v>
      </c>
      <c r="E21" s="65">
        <v>9500</v>
      </c>
      <c r="F21" s="64"/>
      <c r="G21" s="64"/>
      <c r="H21" s="69"/>
      <c r="I21" s="70"/>
      <c r="J21" s="68"/>
      <c r="K21" s="401"/>
      <c r="L21" s="401"/>
      <c r="M21" s="401"/>
      <c r="N21" s="401"/>
    </row>
    <row r="22" spans="2:19" ht="21" outlineLevel="2">
      <c r="B22" s="64" t="s">
        <v>163</v>
      </c>
      <c r="C22" s="64">
        <v>3000</v>
      </c>
      <c r="D22" s="64">
        <v>7000</v>
      </c>
      <c r="E22" s="65">
        <v>10000</v>
      </c>
      <c r="F22" s="64"/>
      <c r="G22" s="64"/>
      <c r="H22" s="69"/>
      <c r="I22" s="70" t="s">
        <v>168</v>
      </c>
      <c r="J22" s="68"/>
      <c r="K22" s="401"/>
      <c r="L22" s="401"/>
      <c r="M22" s="401"/>
      <c r="N22" s="401"/>
    </row>
    <row r="23" spans="2:19" ht="22" outlineLevel="2" thickBot="1">
      <c r="B23" s="64" t="s">
        <v>164</v>
      </c>
      <c r="C23" s="64">
        <v>3000</v>
      </c>
      <c r="D23" s="64">
        <v>8000</v>
      </c>
      <c r="E23" s="65">
        <v>11000</v>
      </c>
      <c r="F23" s="64"/>
      <c r="G23" s="64"/>
      <c r="H23" s="75" t="s">
        <v>168</v>
      </c>
      <c r="I23" s="76"/>
      <c r="J23" s="68"/>
    </row>
    <row r="25" spans="2:19" s="54" customFormat="1" ht="43" customHeight="1">
      <c r="B25" s="58" t="s">
        <v>113</v>
      </c>
      <c r="P25" s="55"/>
      <c r="Q25" s="55"/>
      <c r="R25" s="55"/>
      <c r="S25" s="55"/>
    </row>
    <row r="26" spans="2:19" s="54" customFormat="1" ht="17" customHeight="1">
      <c r="B26" s="58"/>
      <c r="P26" s="55"/>
      <c r="Q26" s="55"/>
      <c r="R26" s="55"/>
      <c r="S26" s="55"/>
    </row>
    <row r="27" spans="2:19" ht="29" customHeight="1" thickBot="1">
      <c r="B27" s="195" t="s">
        <v>342</v>
      </c>
      <c r="C27" s="195"/>
      <c r="D27" s="195"/>
      <c r="E27" s="195"/>
      <c r="F27" s="195"/>
      <c r="G27" s="195"/>
      <c r="H27" s="195"/>
      <c r="I27" s="54"/>
      <c r="J27" s="54"/>
      <c r="K27" s="54"/>
      <c r="L27" s="54"/>
      <c r="M27" s="54"/>
      <c r="N27" s="54"/>
      <c r="O27" s="54"/>
    </row>
    <row r="28" spans="2:19" ht="48" customHeight="1">
      <c r="B28" s="194" t="s">
        <v>375</v>
      </c>
      <c r="C28" s="196"/>
      <c r="D28" s="196"/>
      <c r="E28" s="196"/>
      <c r="F28" s="196"/>
      <c r="G28" s="196"/>
      <c r="H28" s="196"/>
      <c r="I28" s="54"/>
      <c r="J28" s="54"/>
      <c r="K28" s="54"/>
      <c r="L28" s="54"/>
      <c r="M28" s="54"/>
      <c r="N28" s="54"/>
      <c r="O28" s="54"/>
    </row>
    <row r="29" spans="2:19" ht="27" customHeight="1">
      <c r="B29" s="409" t="s">
        <v>1</v>
      </c>
      <c r="C29" s="410"/>
      <c r="D29" s="410"/>
      <c r="E29" s="410"/>
      <c r="F29" s="410"/>
      <c r="G29" s="410"/>
      <c r="H29" s="410"/>
      <c r="J29" s="86"/>
      <c r="K29" s="54"/>
      <c r="L29" s="54"/>
      <c r="M29" s="54"/>
      <c r="N29" s="54"/>
      <c r="O29" s="54"/>
    </row>
    <row r="30" spans="2:19" ht="27" customHeight="1">
      <c r="B30" s="409" t="s">
        <v>80</v>
      </c>
      <c r="C30" s="410"/>
      <c r="D30" s="410" t="s">
        <v>171</v>
      </c>
      <c r="E30" s="410"/>
      <c r="F30" s="410" t="s">
        <v>7</v>
      </c>
      <c r="G30" s="410"/>
      <c r="H30" s="410"/>
      <c r="J30" s="86"/>
      <c r="K30" s="54"/>
      <c r="L30" s="54"/>
      <c r="M30" s="54"/>
      <c r="N30" s="54"/>
      <c r="O30" s="54"/>
    </row>
    <row r="31" spans="2:19" ht="55" customHeight="1">
      <c r="B31" s="409"/>
      <c r="C31" s="410"/>
      <c r="D31" s="79" t="s">
        <v>83</v>
      </c>
      <c r="E31" s="79" t="s">
        <v>84</v>
      </c>
      <c r="F31" s="77" t="s">
        <v>172</v>
      </c>
      <c r="G31" s="77" t="s">
        <v>191</v>
      </c>
      <c r="H31" s="77" t="s">
        <v>174</v>
      </c>
      <c r="J31" s="130"/>
      <c r="K31" s="87"/>
      <c r="L31" s="87"/>
      <c r="M31" s="87"/>
      <c r="N31" s="87"/>
      <c r="O31" s="87"/>
    </row>
    <row r="32" spans="2:19" ht="25" customHeight="1">
      <c r="B32" s="403" t="s">
        <v>393</v>
      </c>
      <c r="C32" s="404"/>
      <c r="D32" s="330" t="s">
        <v>447</v>
      </c>
      <c r="E32" s="332">
        <v>0</v>
      </c>
      <c r="F32" s="80">
        <v>1</v>
      </c>
      <c r="G32" s="80">
        <v>0.8</v>
      </c>
      <c r="H32" s="81">
        <v>0.25</v>
      </c>
      <c r="J32" s="88"/>
      <c r="K32" s="88"/>
      <c r="L32" s="88"/>
      <c r="M32" s="88"/>
      <c r="N32" s="88"/>
      <c r="O32" s="88"/>
    </row>
    <row r="33" spans="2:19" ht="25" customHeight="1">
      <c r="B33" s="403"/>
      <c r="C33" s="404"/>
      <c r="D33" s="331"/>
      <c r="E33" s="333"/>
      <c r="F33" s="404" t="s">
        <v>390</v>
      </c>
      <c r="G33" s="404"/>
      <c r="H33" s="404"/>
      <c r="J33" s="88"/>
      <c r="K33" s="88"/>
      <c r="L33" s="88"/>
      <c r="M33" s="88"/>
      <c r="N33" s="88"/>
      <c r="O33" s="88"/>
    </row>
    <row r="34" spans="2:19" ht="25" customHeight="1">
      <c r="B34" s="403"/>
      <c r="C34" s="404"/>
      <c r="D34" s="180" t="s">
        <v>75</v>
      </c>
      <c r="E34" s="181">
        <v>0.25</v>
      </c>
      <c r="F34" s="404"/>
      <c r="G34" s="404"/>
      <c r="H34" s="404"/>
      <c r="J34" s="185"/>
      <c r="K34" s="189"/>
      <c r="L34" s="189"/>
      <c r="M34" s="90"/>
      <c r="N34" s="90"/>
      <c r="O34" s="90"/>
    </row>
    <row r="35" spans="2:19" ht="25" customHeight="1">
      <c r="B35" s="403"/>
      <c r="C35" s="404"/>
      <c r="D35" s="180" t="s">
        <v>76</v>
      </c>
      <c r="E35" s="181">
        <v>0.5</v>
      </c>
      <c r="F35" s="404"/>
      <c r="G35" s="404"/>
      <c r="H35" s="404"/>
      <c r="J35" s="185"/>
      <c r="K35" s="189"/>
      <c r="L35" s="189"/>
      <c r="M35" s="90"/>
      <c r="N35" s="90"/>
      <c r="O35" s="90"/>
    </row>
    <row r="36" spans="2:19" ht="25" customHeight="1">
      <c r="B36" s="403"/>
      <c r="C36" s="404"/>
      <c r="D36" s="318" t="s">
        <v>388</v>
      </c>
      <c r="E36" s="319"/>
      <c r="F36" s="404"/>
      <c r="G36" s="404"/>
      <c r="H36" s="404"/>
      <c r="J36" s="185"/>
      <c r="K36" s="189"/>
      <c r="L36" s="189"/>
      <c r="M36" s="90"/>
      <c r="N36" s="90"/>
      <c r="O36" s="90"/>
    </row>
    <row r="37" spans="2:19" ht="40" customHeight="1">
      <c r="B37" s="403"/>
      <c r="C37" s="404"/>
      <c r="D37" s="320"/>
      <c r="E37" s="321"/>
      <c r="F37" s="404"/>
      <c r="G37" s="404"/>
      <c r="H37" s="404"/>
      <c r="J37" s="89"/>
      <c r="K37" s="91"/>
      <c r="L37" s="91"/>
      <c r="M37" s="91"/>
      <c r="N37" s="91"/>
      <c r="O37" s="91"/>
    </row>
    <row r="38" spans="2:19" ht="40" customHeight="1">
      <c r="B38" s="403"/>
      <c r="C38" s="404"/>
      <c r="D38" s="320"/>
      <c r="E38" s="321"/>
      <c r="F38" s="404"/>
      <c r="G38" s="404"/>
      <c r="H38" s="404"/>
      <c r="J38" s="91"/>
      <c r="K38" s="91"/>
      <c r="L38" s="91"/>
      <c r="M38" s="91"/>
      <c r="N38" s="91"/>
      <c r="O38" s="91"/>
    </row>
    <row r="39" spans="2:19" ht="40" customHeight="1">
      <c r="B39" s="403"/>
      <c r="C39" s="404"/>
      <c r="D39" s="320"/>
      <c r="E39" s="321"/>
      <c r="F39" s="404"/>
      <c r="G39" s="404"/>
      <c r="H39" s="404"/>
      <c r="J39" s="91"/>
      <c r="K39" s="91"/>
      <c r="L39" s="91"/>
      <c r="M39" s="91"/>
      <c r="N39" s="91"/>
      <c r="O39" s="91"/>
    </row>
    <row r="40" spans="2:19" ht="40" customHeight="1">
      <c r="B40" s="403"/>
      <c r="C40" s="404"/>
      <c r="D40" s="320"/>
      <c r="E40" s="321"/>
      <c r="F40" s="404"/>
      <c r="G40" s="404"/>
      <c r="H40" s="404"/>
      <c r="J40" s="91"/>
      <c r="K40" s="91"/>
      <c r="L40" s="91"/>
      <c r="M40" s="91"/>
      <c r="N40" s="91"/>
      <c r="O40" s="91"/>
    </row>
    <row r="41" spans="2:19" ht="40" customHeight="1">
      <c r="B41" s="403"/>
      <c r="C41" s="404"/>
      <c r="D41" s="320"/>
      <c r="E41" s="321"/>
      <c r="F41" s="404"/>
      <c r="G41" s="404"/>
      <c r="H41" s="404"/>
      <c r="J41" s="91"/>
      <c r="K41" s="91"/>
      <c r="L41" s="91"/>
      <c r="M41" s="91"/>
      <c r="N41" s="91"/>
      <c r="O41" s="91"/>
    </row>
    <row r="42" spans="2:19" ht="40" customHeight="1">
      <c r="B42" s="403"/>
      <c r="C42" s="404"/>
      <c r="D42" s="320"/>
      <c r="E42" s="321"/>
      <c r="F42" s="404"/>
      <c r="G42" s="404"/>
      <c r="H42" s="404"/>
      <c r="J42" s="91"/>
      <c r="K42" s="91"/>
      <c r="L42" s="91"/>
      <c r="M42" s="91"/>
      <c r="N42" s="91"/>
      <c r="O42" s="91"/>
    </row>
    <row r="43" spans="2:19" ht="40" customHeight="1">
      <c r="B43" s="403"/>
      <c r="C43" s="404"/>
      <c r="D43" s="320"/>
      <c r="E43" s="321"/>
      <c r="F43" s="404"/>
      <c r="G43" s="404"/>
      <c r="H43" s="404"/>
      <c r="J43" s="91"/>
      <c r="K43" s="91"/>
      <c r="L43" s="91"/>
      <c r="M43" s="91"/>
      <c r="N43" s="91"/>
      <c r="O43" s="91"/>
    </row>
    <row r="44" spans="2:19" ht="40" customHeight="1">
      <c r="B44" s="403"/>
      <c r="C44" s="404"/>
      <c r="D44" s="320"/>
      <c r="E44" s="321"/>
      <c r="F44" s="404"/>
      <c r="G44" s="404"/>
      <c r="H44" s="404"/>
      <c r="J44" s="91"/>
      <c r="K44" s="91"/>
      <c r="L44" s="91"/>
      <c r="M44" s="91"/>
      <c r="N44" s="91"/>
      <c r="O44" s="91"/>
    </row>
    <row r="45" spans="2:19" ht="40" customHeight="1">
      <c r="B45" s="348"/>
      <c r="C45" s="436"/>
      <c r="D45" s="320"/>
      <c r="E45" s="321"/>
      <c r="F45" s="436"/>
      <c r="G45" s="436"/>
      <c r="H45" s="436"/>
      <c r="J45" s="91"/>
      <c r="K45" s="91"/>
      <c r="L45" s="91"/>
      <c r="M45" s="91"/>
      <c r="N45" s="91"/>
      <c r="O45" s="91"/>
    </row>
    <row r="46" spans="2:19" ht="102" customHeight="1">
      <c r="B46" s="438" t="s">
        <v>379</v>
      </c>
      <c r="C46" s="439"/>
      <c r="D46" s="439"/>
      <c r="E46" s="439"/>
      <c r="F46" s="439"/>
      <c r="G46" s="439"/>
      <c r="H46" s="440"/>
      <c r="J46" s="91"/>
      <c r="K46" s="91"/>
      <c r="L46" s="91"/>
      <c r="M46" s="91"/>
      <c r="N46" s="91"/>
      <c r="O46" s="91"/>
    </row>
    <row r="47" spans="2:19" s="54" customFormat="1" ht="26" customHeight="1">
      <c r="B47" s="58"/>
      <c r="I47" s="55"/>
      <c r="J47" s="91"/>
      <c r="K47" s="91"/>
      <c r="L47" s="91"/>
      <c r="M47" s="91"/>
      <c r="N47" s="91"/>
      <c r="O47" s="91"/>
      <c r="P47" s="55"/>
      <c r="Q47" s="55"/>
      <c r="R47" s="55"/>
      <c r="S47" s="55"/>
    </row>
  </sheetData>
  <mergeCells count="16">
    <mergeCell ref="B4:B5"/>
    <mergeCell ref="D4:E4"/>
    <mergeCell ref="D5:E5"/>
    <mergeCell ref="H6:I6"/>
    <mergeCell ref="D32:D33"/>
    <mergeCell ref="E32:E33"/>
    <mergeCell ref="K7:N7"/>
    <mergeCell ref="B46:H46"/>
    <mergeCell ref="D36:E45"/>
    <mergeCell ref="B32:C45"/>
    <mergeCell ref="F33:H45"/>
    <mergeCell ref="K8:N22"/>
    <mergeCell ref="B29:H29"/>
    <mergeCell ref="B30:C31"/>
    <mergeCell ref="D30:E30"/>
    <mergeCell ref="F30:H30"/>
  </mergeCells>
  <phoneticPr fontId="80" type="noConversion"/>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sheetPr>
  <dimension ref="B2:Y27"/>
  <sheetViews>
    <sheetView topLeftCell="A26" zoomScale="90" zoomScaleNormal="90" workbookViewId="0">
      <selection activeCell="A29" sqref="A29:XFD39"/>
    </sheetView>
  </sheetViews>
  <sheetFormatPr baseColWidth="10" defaultColWidth="10.83203125" defaultRowHeight="17"/>
  <cols>
    <col min="1" max="1" width="10.83203125" style="50"/>
    <col min="2" max="2" width="29.6640625" style="50" customWidth="1"/>
    <col min="3" max="3" width="25.83203125" style="50" customWidth="1"/>
    <col min="4" max="4" width="13" style="50" customWidth="1"/>
    <col min="5" max="5" width="27.33203125" style="50" customWidth="1"/>
    <col min="6" max="6" width="24.83203125" style="50" customWidth="1"/>
    <col min="7" max="7" width="29.6640625" style="50" customWidth="1"/>
    <col min="8" max="8" width="19.1640625" style="50" customWidth="1"/>
    <col min="9" max="9" width="14.6640625" style="50" bestFit="1" customWidth="1"/>
    <col min="10" max="10" width="30.6640625" style="50" bestFit="1" customWidth="1"/>
    <col min="11" max="16384" width="10.83203125" style="50"/>
  </cols>
  <sheetData>
    <row r="2" spans="2:10" ht="26">
      <c r="B2" s="455" t="s">
        <v>9</v>
      </c>
      <c r="C2" s="455"/>
      <c r="D2" s="455"/>
      <c r="E2" s="455"/>
      <c r="F2" s="455"/>
      <c r="G2" s="455"/>
      <c r="H2" s="455"/>
      <c r="I2" s="202"/>
      <c r="J2" s="202"/>
    </row>
    <row r="3" spans="2:10">
      <c r="B3" s="203" t="s">
        <v>417</v>
      </c>
      <c r="C3" s="204"/>
      <c r="D3" s="204"/>
      <c r="E3" s="204"/>
    </row>
    <row r="4" spans="2:10">
      <c r="B4" s="203" t="s">
        <v>418</v>
      </c>
      <c r="C4" s="204"/>
      <c r="D4" s="204"/>
      <c r="E4" s="204"/>
    </row>
    <row r="5" spans="2:10" ht="10" customHeight="1">
      <c r="B5" s="204"/>
      <c r="C5" s="204"/>
      <c r="D5" s="204"/>
      <c r="E5" s="204"/>
    </row>
    <row r="6" spans="2:10">
      <c r="B6" s="205" t="s">
        <v>419</v>
      </c>
      <c r="C6" s="205" t="s">
        <v>420</v>
      </c>
      <c r="D6" s="205" t="s">
        <v>421</v>
      </c>
      <c r="E6" s="205" t="s">
        <v>422</v>
      </c>
    </row>
    <row r="7" spans="2:10">
      <c r="B7" s="206" t="s">
        <v>423</v>
      </c>
      <c r="C7" s="207">
        <v>3550</v>
      </c>
      <c r="D7" s="207">
        <v>2500</v>
      </c>
      <c r="E7" s="207">
        <v>7865</v>
      </c>
    </row>
    <row r="8" spans="2:10">
      <c r="B8" s="206" t="s">
        <v>424</v>
      </c>
      <c r="C8" s="207">
        <v>3050</v>
      </c>
      <c r="D8" s="207">
        <v>2500</v>
      </c>
      <c r="E8" s="207">
        <v>7215</v>
      </c>
    </row>
    <row r="9" spans="2:10">
      <c r="B9" s="206" t="s">
        <v>425</v>
      </c>
      <c r="C9" s="207">
        <v>2550</v>
      </c>
      <c r="D9" s="207">
        <v>2500</v>
      </c>
      <c r="E9" s="207">
        <v>6565</v>
      </c>
    </row>
    <row r="10" spans="2:10" ht="8" customHeight="1">
      <c r="C10" s="204"/>
      <c r="D10" s="204"/>
      <c r="E10" s="204"/>
    </row>
    <row r="11" spans="2:10">
      <c r="B11" s="203" t="s">
        <v>426</v>
      </c>
      <c r="C11" s="204"/>
      <c r="D11" s="204"/>
      <c r="E11" s="204"/>
    </row>
    <row r="12" spans="2:10">
      <c r="B12" s="208" t="s">
        <v>419</v>
      </c>
      <c r="C12" s="458" t="s">
        <v>25</v>
      </c>
      <c r="D12" s="458"/>
      <c r="E12" s="458"/>
    </row>
    <row r="13" spans="2:10">
      <c r="B13" s="209" t="s">
        <v>427</v>
      </c>
      <c r="C13" s="456" t="s">
        <v>428</v>
      </c>
      <c r="D13" s="456"/>
      <c r="E13" s="456"/>
    </row>
    <row r="14" spans="2:10" ht="43" customHeight="1">
      <c r="B14" s="209" t="s">
        <v>429</v>
      </c>
      <c r="C14" s="456" t="s">
        <v>430</v>
      </c>
      <c r="D14" s="456"/>
      <c r="E14" s="456"/>
    </row>
    <row r="15" spans="2:10" ht="43" customHeight="1">
      <c r="B15" s="209" t="s">
        <v>431</v>
      </c>
      <c r="C15" s="457" t="s">
        <v>432</v>
      </c>
      <c r="D15" s="457"/>
      <c r="E15" s="457"/>
    </row>
    <row r="16" spans="2:10" ht="11" customHeight="1"/>
    <row r="17" spans="2:25" ht="29" customHeight="1">
      <c r="B17" s="447" t="s">
        <v>416</v>
      </c>
      <c r="C17" s="448"/>
      <c r="D17" s="448"/>
      <c r="E17" s="448"/>
      <c r="F17" s="448"/>
      <c r="G17" s="448"/>
      <c r="H17" s="448"/>
      <c r="I17" s="448"/>
      <c r="J17" s="448"/>
      <c r="K17" s="51"/>
      <c r="L17" s="51"/>
      <c r="M17" s="51"/>
      <c r="N17" s="51"/>
      <c r="O17" s="51"/>
      <c r="P17" s="51"/>
      <c r="Q17" s="51"/>
      <c r="R17" s="51"/>
      <c r="S17" s="51"/>
      <c r="T17" s="51"/>
      <c r="U17" s="51"/>
      <c r="V17" s="51"/>
      <c r="W17" s="51"/>
      <c r="X17" s="51"/>
      <c r="Y17" s="51"/>
    </row>
    <row r="18" spans="2:25" ht="21">
      <c r="B18" s="52" t="s">
        <v>73</v>
      </c>
      <c r="C18" s="443" t="s">
        <v>79</v>
      </c>
      <c r="D18" s="443"/>
      <c r="E18" s="443" t="s">
        <v>192</v>
      </c>
      <c r="F18" s="443"/>
      <c r="G18" s="443" t="s">
        <v>193</v>
      </c>
      <c r="H18" s="443"/>
      <c r="I18" s="443" t="s">
        <v>411</v>
      </c>
      <c r="J18" s="443"/>
    </row>
    <row r="19" spans="2:25" ht="18">
      <c r="B19" s="454">
        <v>2500</v>
      </c>
      <c r="C19" s="53" t="s">
        <v>74</v>
      </c>
      <c r="D19" s="53" t="s">
        <v>194</v>
      </c>
      <c r="E19" s="53" t="s">
        <v>192</v>
      </c>
      <c r="F19" s="53" t="s">
        <v>194</v>
      </c>
      <c r="G19" s="53" t="s">
        <v>83</v>
      </c>
      <c r="H19" s="53" t="s">
        <v>194</v>
      </c>
      <c r="I19" s="53" t="s">
        <v>413</v>
      </c>
      <c r="J19" s="53" t="s">
        <v>396</v>
      </c>
    </row>
    <row r="20" spans="2:25">
      <c r="B20" s="454"/>
      <c r="C20" s="198" t="s">
        <v>397</v>
      </c>
      <c r="D20" s="198">
        <v>0</v>
      </c>
      <c r="E20" s="198" t="s">
        <v>403</v>
      </c>
      <c r="F20" s="198">
        <v>0</v>
      </c>
      <c r="G20" s="198" t="s">
        <v>407</v>
      </c>
      <c r="H20" s="198">
        <v>0</v>
      </c>
      <c r="I20" s="198" t="s">
        <v>412</v>
      </c>
      <c r="J20" s="198">
        <v>0</v>
      </c>
    </row>
    <row r="21" spans="2:25">
      <c r="B21" s="454"/>
      <c r="C21" s="198" t="s">
        <v>398</v>
      </c>
      <c r="D21" s="198">
        <v>0.6</v>
      </c>
      <c r="E21" s="198" t="s">
        <v>404</v>
      </c>
      <c r="F21" s="198">
        <v>0.5</v>
      </c>
      <c r="G21" s="198" t="s">
        <v>404</v>
      </c>
      <c r="H21" s="198">
        <v>0.5</v>
      </c>
      <c r="I21" s="198" t="s">
        <v>399</v>
      </c>
      <c r="J21" s="198" t="s">
        <v>402</v>
      </c>
    </row>
    <row r="22" spans="2:25">
      <c r="B22" s="454"/>
      <c r="C22" s="198" t="s">
        <v>399</v>
      </c>
      <c r="D22" s="198" t="s">
        <v>402</v>
      </c>
      <c r="E22" s="198" t="s">
        <v>405</v>
      </c>
      <c r="F22" s="198" t="s">
        <v>406</v>
      </c>
      <c r="G22" s="198" t="s">
        <v>405</v>
      </c>
      <c r="H22" s="200" t="s">
        <v>406</v>
      </c>
      <c r="I22" s="201"/>
      <c r="J22" s="201"/>
    </row>
    <row r="23" spans="2:25">
      <c r="B23" s="454"/>
      <c r="C23" s="198" t="s">
        <v>400</v>
      </c>
      <c r="D23" s="198">
        <v>1.1000000000000001</v>
      </c>
      <c r="E23" s="198" t="s">
        <v>195</v>
      </c>
      <c r="F23" s="198">
        <v>1.1000000000000001</v>
      </c>
      <c r="G23" s="198" t="s">
        <v>195</v>
      </c>
      <c r="H23" s="200">
        <v>1.1000000000000001</v>
      </c>
      <c r="I23" s="201"/>
      <c r="J23" s="201"/>
    </row>
    <row r="24" spans="2:25">
      <c r="B24" s="454"/>
      <c r="C24" s="198" t="s">
        <v>401</v>
      </c>
      <c r="D24" s="198">
        <v>1.3</v>
      </c>
      <c r="E24" s="199"/>
      <c r="F24" s="199"/>
      <c r="I24" s="201"/>
      <c r="J24" s="201"/>
    </row>
    <row r="25" spans="2:25" ht="176" customHeight="1">
      <c r="B25" s="454"/>
      <c r="C25" s="449" t="s">
        <v>408</v>
      </c>
      <c r="D25" s="449"/>
      <c r="E25" s="450" t="s">
        <v>409</v>
      </c>
      <c r="F25" s="451"/>
      <c r="G25" s="452" t="s">
        <v>410</v>
      </c>
      <c r="H25" s="453"/>
      <c r="I25" s="444" t="s">
        <v>415</v>
      </c>
      <c r="J25" s="445"/>
    </row>
    <row r="26" spans="2:25" ht="97" customHeight="1">
      <c r="B26" s="446" t="s">
        <v>414</v>
      </c>
      <c r="C26" s="446"/>
      <c r="D26" s="446"/>
      <c r="E26" s="446"/>
      <c r="F26" s="446"/>
      <c r="G26" s="446"/>
      <c r="H26" s="446"/>
      <c r="I26" s="446"/>
      <c r="J26" s="446"/>
    </row>
    <row r="27" spans="2:25" ht="18" customHeight="1"/>
  </sheetData>
  <mergeCells count="16">
    <mergeCell ref="B2:H2"/>
    <mergeCell ref="C18:D18"/>
    <mergeCell ref="E18:F18"/>
    <mergeCell ref="G18:H18"/>
    <mergeCell ref="C14:E14"/>
    <mergeCell ref="C15:E15"/>
    <mergeCell ref="C13:E13"/>
    <mergeCell ref="C12:E12"/>
    <mergeCell ref="I18:J18"/>
    <mergeCell ref="I25:J25"/>
    <mergeCell ref="B26:J26"/>
    <mergeCell ref="B17:J17"/>
    <mergeCell ref="C25:D25"/>
    <mergeCell ref="E25:F25"/>
    <mergeCell ref="G25:H25"/>
    <mergeCell ref="B19:B25"/>
  </mergeCells>
  <phoneticPr fontId="80"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0" tint="-0.14996795556505021"/>
  </sheetPr>
  <dimension ref="B1:O9"/>
  <sheetViews>
    <sheetView showGridLines="0" topLeftCell="I1" zoomScale="130" zoomScaleNormal="130" workbookViewId="0">
      <selection activeCell="O15" sqref="O15"/>
    </sheetView>
  </sheetViews>
  <sheetFormatPr baseColWidth="10" defaultColWidth="11" defaultRowHeight="16"/>
  <cols>
    <col min="2" max="2" width="11" hidden="1" customWidth="1"/>
    <col min="3" max="5" width="21" hidden="1" customWidth="1"/>
    <col min="6" max="8" width="11" hidden="1" customWidth="1"/>
    <col min="11" max="15" width="21.6640625" customWidth="1"/>
  </cols>
  <sheetData>
    <row r="1" spans="2:15" ht="16" customHeight="1">
      <c r="B1" s="469" t="s">
        <v>196</v>
      </c>
      <c r="C1" s="470"/>
      <c r="D1" s="470"/>
      <c r="E1" s="471"/>
      <c r="J1" s="472" t="s">
        <v>197</v>
      </c>
      <c r="K1" s="472"/>
      <c r="L1" s="472"/>
      <c r="M1" s="472"/>
      <c r="N1" s="472"/>
      <c r="O1" s="472"/>
    </row>
    <row r="2" spans="2:15" ht="18" customHeight="1">
      <c r="B2" s="44" t="s">
        <v>198</v>
      </c>
      <c r="C2" s="469" t="s">
        <v>4</v>
      </c>
      <c r="D2" s="470"/>
      <c r="E2" s="471"/>
      <c r="J2" s="45" t="s">
        <v>198</v>
      </c>
      <c r="K2" s="472" t="s">
        <v>199</v>
      </c>
      <c r="L2" s="472"/>
      <c r="M2" s="472"/>
      <c r="N2" s="472"/>
      <c r="O2" s="472"/>
    </row>
    <row r="3" spans="2:15" ht="80" customHeight="1">
      <c r="B3" s="44" t="s">
        <v>200</v>
      </c>
      <c r="C3" s="473" t="s">
        <v>201</v>
      </c>
      <c r="D3" s="474"/>
      <c r="E3" s="475"/>
      <c r="J3" s="46" t="s">
        <v>200</v>
      </c>
      <c r="K3" s="476" t="s">
        <v>202</v>
      </c>
      <c r="L3" s="476"/>
      <c r="M3" s="476"/>
      <c r="N3" s="476"/>
      <c r="O3" s="476"/>
    </row>
    <row r="4" spans="2:15" ht="34">
      <c r="B4" s="465" t="s">
        <v>203</v>
      </c>
      <c r="C4" s="47" t="s">
        <v>204</v>
      </c>
      <c r="D4" s="47" t="s">
        <v>205</v>
      </c>
      <c r="E4" s="47" t="s">
        <v>206</v>
      </c>
      <c r="J4" s="468" t="s">
        <v>203</v>
      </c>
      <c r="K4" s="48" t="s">
        <v>204</v>
      </c>
      <c r="L4" s="48" t="s">
        <v>205</v>
      </c>
      <c r="M4" s="48" t="s">
        <v>207</v>
      </c>
      <c r="N4" s="48" t="s">
        <v>208</v>
      </c>
      <c r="O4" s="48" t="s">
        <v>209</v>
      </c>
    </row>
    <row r="5" spans="2:15" ht="17">
      <c r="B5" s="466"/>
      <c r="C5" s="47" t="s">
        <v>210</v>
      </c>
      <c r="D5" s="47" t="s">
        <v>211</v>
      </c>
      <c r="E5" s="47">
        <v>1000</v>
      </c>
      <c r="J5" s="468"/>
      <c r="K5" s="48" t="s">
        <v>210</v>
      </c>
      <c r="L5" s="48" t="s">
        <v>211</v>
      </c>
      <c r="M5" s="48">
        <v>50</v>
      </c>
      <c r="N5" s="48">
        <v>25</v>
      </c>
      <c r="O5" s="49">
        <v>12.5</v>
      </c>
    </row>
    <row r="6" spans="2:15" ht="17">
      <c r="B6" s="466"/>
      <c r="C6" s="47" t="s">
        <v>212</v>
      </c>
      <c r="D6" s="47" t="s">
        <v>213</v>
      </c>
      <c r="E6" s="47">
        <v>2000</v>
      </c>
      <c r="J6" s="468"/>
      <c r="K6" s="48" t="s">
        <v>212</v>
      </c>
      <c r="L6" s="48" t="s">
        <v>213</v>
      </c>
      <c r="M6" s="48">
        <v>200</v>
      </c>
      <c r="N6" s="48">
        <v>100</v>
      </c>
      <c r="O6" s="49">
        <v>50</v>
      </c>
    </row>
    <row r="7" spans="2:15" ht="17">
      <c r="B7" s="466"/>
      <c r="C7" s="47" t="s">
        <v>214</v>
      </c>
      <c r="D7" s="47" t="s">
        <v>215</v>
      </c>
      <c r="E7" s="47">
        <v>4000</v>
      </c>
      <c r="J7" s="468"/>
      <c r="K7" s="48" t="s">
        <v>214</v>
      </c>
      <c r="L7" s="48" t="s">
        <v>215</v>
      </c>
      <c r="M7" s="48">
        <v>400</v>
      </c>
      <c r="N7" s="48">
        <v>200</v>
      </c>
      <c r="O7" s="49">
        <v>100</v>
      </c>
    </row>
    <row r="8" spans="2:15" ht="17">
      <c r="B8" s="467"/>
      <c r="C8" s="47" t="s">
        <v>216</v>
      </c>
      <c r="D8" s="47" t="s">
        <v>217</v>
      </c>
      <c r="E8" s="47">
        <v>8000</v>
      </c>
      <c r="J8" s="468"/>
      <c r="K8" s="48" t="s">
        <v>216</v>
      </c>
      <c r="L8" s="48" t="s">
        <v>217</v>
      </c>
      <c r="M8" s="48">
        <v>600</v>
      </c>
      <c r="N8" s="48">
        <v>300</v>
      </c>
      <c r="O8" s="49">
        <v>150</v>
      </c>
    </row>
    <row r="9" spans="2:15">
      <c r="B9" s="459" t="s">
        <v>218</v>
      </c>
      <c r="C9" s="460"/>
      <c r="D9" s="460"/>
      <c r="E9" s="461"/>
      <c r="J9" s="462" t="s">
        <v>219</v>
      </c>
      <c r="K9" s="463"/>
      <c r="L9" s="463"/>
      <c r="M9" s="463"/>
      <c r="N9" s="463"/>
      <c r="O9" s="464"/>
    </row>
  </sheetData>
  <mergeCells count="10">
    <mergeCell ref="B9:E9"/>
    <mergeCell ref="J9:O9"/>
    <mergeCell ref="B4:B8"/>
    <mergeCell ref="J4:J8"/>
    <mergeCell ref="B1:E1"/>
    <mergeCell ref="J1:O1"/>
    <mergeCell ref="C2:E2"/>
    <mergeCell ref="K2:O2"/>
    <mergeCell ref="C3:E3"/>
    <mergeCell ref="K3:O3"/>
  </mergeCells>
  <phoneticPr fontId="80" type="noConversion"/>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tint="-0.14996795556505021"/>
  </sheetPr>
  <dimension ref="A1:D9"/>
  <sheetViews>
    <sheetView showGridLines="0" zoomScale="136" zoomScaleNormal="136" workbookViewId="0">
      <selection activeCell="G2" sqref="G2"/>
    </sheetView>
  </sheetViews>
  <sheetFormatPr baseColWidth="10" defaultColWidth="10.83203125" defaultRowHeight="18"/>
  <cols>
    <col min="1" max="1" width="10.83203125" style="39"/>
    <col min="2" max="2" width="27.5" style="11" customWidth="1"/>
    <col min="3" max="3" width="14.1640625" style="12" customWidth="1"/>
    <col min="4" max="4" width="19" style="12" customWidth="1"/>
    <col min="5" max="16384" width="10.83203125" style="39"/>
  </cols>
  <sheetData>
    <row r="1" spans="1:4">
      <c r="A1" s="40" t="s">
        <v>220</v>
      </c>
      <c r="B1" s="477" t="s">
        <v>343</v>
      </c>
      <c r="C1" s="478"/>
      <c r="D1" s="478"/>
    </row>
    <row r="2" spans="1:4" s="38" customFormat="1" ht="347" customHeight="1">
      <c r="A2" s="17" t="s">
        <v>203</v>
      </c>
      <c r="B2" s="450" t="s">
        <v>459</v>
      </c>
      <c r="C2" s="479"/>
      <c r="D2" s="451"/>
    </row>
    <row r="3" spans="1:4">
      <c r="A3" s="41"/>
      <c r="B3" s="480"/>
      <c r="C3" s="480"/>
      <c r="D3" s="480"/>
    </row>
    <row r="4" spans="1:4">
      <c r="A4" s="42"/>
      <c r="B4" s="16"/>
      <c r="C4" s="43"/>
      <c r="D4" s="43"/>
    </row>
    <row r="5" spans="1:4">
      <c r="A5" s="42"/>
      <c r="B5" s="16"/>
      <c r="C5" s="43"/>
      <c r="D5" s="43"/>
    </row>
    <row r="6" spans="1:4">
      <c r="A6" s="42"/>
      <c r="B6" s="16"/>
      <c r="C6" s="43"/>
      <c r="D6" s="43"/>
    </row>
    <row r="7" spans="1:4">
      <c r="A7" s="42"/>
      <c r="B7" s="16"/>
      <c r="C7" s="43"/>
      <c r="D7" s="43"/>
    </row>
    <row r="8" spans="1:4">
      <c r="A8" s="42"/>
      <c r="B8" s="16"/>
      <c r="C8" s="43"/>
      <c r="D8" s="43"/>
    </row>
    <row r="9" spans="1:4">
      <c r="A9" s="42"/>
      <c r="B9" s="16"/>
      <c r="C9" s="43"/>
      <c r="D9" s="43"/>
    </row>
  </sheetData>
  <mergeCells count="3">
    <mergeCell ref="B1:D1"/>
    <mergeCell ref="B2:D2"/>
    <mergeCell ref="B3:D3"/>
  </mergeCells>
  <phoneticPr fontId="80" type="noConversion"/>
  <pageMargins left="0.7" right="0.7" top="0.75" bottom="0.75" header="0.3" footer="0.3"/>
  <pageSetup paperSize="8"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638B8-A741-C64D-82BF-E8CA72B315ED}">
  <sheetPr>
    <tabColor theme="5"/>
  </sheetPr>
  <dimension ref="B1:B2"/>
  <sheetViews>
    <sheetView workbookViewId="0">
      <selection activeCell="K13" sqref="K13"/>
    </sheetView>
  </sheetViews>
  <sheetFormatPr baseColWidth="10" defaultRowHeight="16"/>
  <cols>
    <col min="2" max="2" width="59.5" customWidth="1"/>
  </cols>
  <sheetData>
    <row r="1" spans="2:2" ht="17" thickBot="1"/>
    <row r="2" spans="2:2" ht="281" customHeight="1" thickBot="1">
      <c r="B2" s="190" t="s">
        <v>465</v>
      </c>
    </row>
  </sheetData>
  <phoneticPr fontId="80"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B2:E7"/>
  <sheetViews>
    <sheetView showGridLines="0" zoomScale="80" zoomScaleNormal="80" workbookViewId="0">
      <selection activeCell="E21" sqref="E21"/>
    </sheetView>
  </sheetViews>
  <sheetFormatPr baseColWidth="10" defaultColWidth="10.83203125" defaultRowHeight="18"/>
  <cols>
    <col min="1" max="1" width="10.83203125" style="12"/>
    <col min="2" max="2" width="6" style="12" bestFit="1" customWidth="1"/>
    <col min="3" max="3" width="12.1640625" style="12" bestFit="1" customWidth="1"/>
    <col min="4" max="4" width="39.6640625" style="12" customWidth="1"/>
    <col min="5" max="5" width="178.33203125" style="12" bestFit="1" customWidth="1"/>
    <col min="6" max="6" width="100.1640625" style="12" bestFit="1" customWidth="1"/>
    <col min="7" max="16384" width="10.83203125" style="12"/>
  </cols>
  <sheetData>
    <row r="2" spans="2:5" ht="54" customHeight="1">
      <c r="B2" s="53" t="s">
        <v>326</v>
      </c>
      <c r="C2" s="53" t="s">
        <v>327</v>
      </c>
      <c r="D2" s="53" t="s">
        <v>328</v>
      </c>
      <c r="E2" s="53" t="s">
        <v>329</v>
      </c>
    </row>
    <row r="3" spans="2:5" ht="54" customHeight="1">
      <c r="B3" s="13">
        <v>1</v>
      </c>
      <c r="C3" s="14" t="s">
        <v>330</v>
      </c>
      <c r="D3" s="13" t="s">
        <v>331</v>
      </c>
      <c r="E3" s="15" t="s">
        <v>332</v>
      </c>
    </row>
    <row r="4" spans="2:5" ht="54" customHeight="1">
      <c r="B4" s="13">
        <v>2</v>
      </c>
      <c r="C4" s="14" t="s">
        <v>333</v>
      </c>
      <c r="D4" s="13" t="s">
        <v>331</v>
      </c>
      <c r="E4" s="15" t="s">
        <v>334</v>
      </c>
    </row>
    <row r="5" spans="2:5" ht="54" customHeight="1">
      <c r="B5" s="13">
        <v>3</v>
      </c>
      <c r="C5" s="14" t="s">
        <v>335</v>
      </c>
      <c r="D5" s="13" t="s">
        <v>336</v>
      </c>
      <c r="E5" s="15" t="s">
        <v>337</v>
      </c>
    </row>
    <row r="6" spans="2:5" ht="54" customHeight="1">
      <c r="B6" s="13">
        <v>4</v>
      </c>
      <c r="C6" s="14" t="s">
        <v>338</v>
      </c>
      <c r="D6" s="14" t="s">
        <v>339</v>
      </c>
      <c r="E6" s="15" t="s">
        <v>356</v>
      </c>
    </row>
    <row r="7" spans="2:5" ht="54" customHeight="1">
      <c r="B7" s="13">
        <v>5</v>
      </c>
      <c r="C7" s="14" t="s">
        <v>338</v>
      </c>
      <c r="D7" s="14" t="s">
        <v>366</v>
      </c>
      <c r="E7" s="15" t="s">
        <v>367</v>
      </c>
    </row>
  </sheetData>
  <phoneticPr fontId="80" type="noConversion"/>
  <pageMargins left="0.7" right="0.7" top="0.75" bottom="0.75" header="0.3" footer="0.3"/>
  <pageSetup paperSize="9" scale="51"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G43"/>
  <sheetViews>
    <sheetView showGridLines="0" workbookViewId="0">
      <pane xSplit="2" ySplit="7" topLeftCell="C8" activePane="bottomRight" state="frozen"/>
      <selection pane="topRight"/>
      <selection pane="bottomLeft"/>
      <selection pane="bottomRight" activeCell="M31" sqref="M31"/>
    </sheetView>
  </sheetViews>
  <sheetFormatPr baseColWidth="10" defaultColWidth="10.83203125" defaultRowHeight="16"/>
  <cols>
    <col min="1" max="1" width="10.83203125" style="19"/>
    <col min="2" max="2" width="18.6640625" style="19" customWidth="1"/>
    <col min="3" max="3" width="22.6640625" style="19" customWidth="1"/>
    <col min="4" max="4" width="39.1640625" style="19" customWidth="1"/>
    <col min="5" max="5" width="25.83203125" style="19" customWidth="1"/>
    <col min="6" max="7" width="22.6640625" style="19" customWidth="1"/>
    <col min="8" max="16384" width="10.83203125" style="19"/>
  </cols>
  <sheetData>
    <row r="1" spans="2:7">
      <c r="B1" s="493" t="s">
        <v>226</v>
      </c>
      <c r="C1" s="493"/>
      <c r="D1" s="493"/>
      <c r="E1" s="493"/>
      <c r="F1" s="493"/>
    </row>
    <row r="2" spans="2:7">
      <c r="B2" s="493"/>
      <c r="C2" s="493"/>
      <c r="D2" s="493"/>
      <c r="E2" s="493"/>
      <c r="F2" s="493"/>
    </row>
    <row r="4" spans="2:7">
      <c r="B4" s="481" t="s">
        <v>227</v>
      </c>
      <c r="C4" s="481"/>
      <c r="D4" s="481"/>
      <c r="E4" s="481"/>
      <c r="F4" s="481"/>
    </row>
    <row r="5" spans="2:7" ht="18">
      <c r="B5" s="482"/>
      <c r="C5" s="482"/>
      <c r="D5" s="482"/>
      <c r="E5" s="482"/>
      <c r="F5" s="482"/>
      <c r="G5" s="20"/>
    </row>
    <row r="6" spans="2:7" ht="18">
      <c r="B6" s="483" t="s">
        <v>228</v>
      </c>
      <c r="C6" s="483" t="s">
        <v>198</v>
      </c>
      <c r="D6" s="483" t="s">
        <v>229</v>
      </c>
      <c r="E6" s="483"/>
      <c r="F6" s="483"/>
      <c r="G6" s="20"/>
    </row>
    <row r="7" spans="2:7" ht="19">
      <c r="B7" s="483"/>
      <c r="C7" s="483"/>
      <c r="D7" s="21" t="s">
        <v>230</v>
      </c>
      <c r="E7" s="21" t="s">
        <v>231</v>
      </c>
      <c r="F7" s="21" t="s">
        <v>232</v>
      </c>
      <c r="G7" s="20"/>
    </row>
    <row r="8" spans="2:7" ht="19">
      <c r="B8" s="484" t="s">
        <v>233</v>
      </c>
      <c r="C8" s="22" t="s">
        <v>27</v>
      </c>
      <c r="D8" s="22" t="s">
        <v>234</v>
      </c>
      <c r="E8" s="22" t="s">
        <v>235</v>
      </c>
      <c r="F8" s="22" t="s">
        <v>236</v>
      </c>
      <c r="G8" s="20"/>
    </row>
    <row r="9" spans="2:7" ht="19">
      <c r="B9" s="484"/>
      <c r="C9" s="22" t="s">
        <v>237</v>
      </c>
      <c r="D9" s="22" t="s">
        <v>238</v>
      </c>
      <c r="E9" s="22" t="s">
        <v>239</v>
      </c>
      <c r="F9" s="22" t="s">
        <v>240</v>
      </c>
      <c r="G9" s="20"/>
    </row>
    <row r="10" spans="2:7" ht="19">
      <c r="B10" s="484"/>
      <c r="C10" s="22" t="s">
        <v>241</v>
      </c>
      <c r="D10" s="22" t="s">
        <v>242</v>
      </c>
      <c r="E10" s="22" t="s">
        <v>240</v>
      </c>
      <c r="F10" s="22" t="s">
        <v>243</v>
      </c>
      <c r="G10" s="20"/>
    </row>
    <row r="11" spans="2:7" ht="18">
      <c r="B11" s="20"/>
      <c r="C11" s="20"/>
      <c r="D11" s="20"/>
      <c r="E11" s="20"/>
      <c r="F11" s="20"/>
      <c r="G11" s="20"/>
    </row>
    <row r="12" spans="2:7" ht="18" customHeight="1">
      <c r="B12" s="481" t="s">
        <v>244</v>
      </c>
      <c r="C12" s="481"/>
      <c r="D12" s="481"/>
      <c r="E12" s="481"/>
      <c r="F12" s="481"/>
      <c r="G12" s="481"/>
    </row>
    <row r="13" spans="2:7" ht="18" customHeight="1">
      <c r="B13" s="482"/>
      <c r="C13" s="482"/>
      <c r="D13" s="482"/>
      <c r="E13" s="482"/>
      <c r="F13" s="482"/>
      <c r="G13" s="482"/>
    </row>
    <row r="14" spans="2:7" ht="36">
      <c r="B14" s="23"/>
      <c r="C14" s="24" t="s">
        <v>245</v>
      </c>
      <c r="D14" s="24" t="s">
        <v>233</v>
      </c>
      <c r="E14" s="24" t="s">
        <v>246</v>
      </c>
      <c r="F14" s="24" t="s">
        <v>247</v>
      </c>
      <c r="G14" s="24" t="s">
        <v>248</v>
      </c>
    </row>
    <row r="15" spans="2:7" ht="57">
      <c r="B15" s="484" t="s">
        <v>249</v>
      </c>
      <c r="C15" s="22" t="s">
        <v>250</v>
      </c>
      <c r="D15" s="25" t="s">
        <v>251</v>
      </c>
      <c r="E15" s="25" t="s">
        <v>252</v>
      </c>
      <c r="F15" s="25" t="s">
        <v>253</v>
      </c>
      <c r="G15" s="25" t="s">
        <v>254</v>
      </c>
    </row>
    <row r="16" spans="2:7" ht="38">
      <c r="B16" s="484"/>
      <c r="C16" s="22" t="s">
        <v>255</v>
      </c>
      <c r="D16" s="25" t="s">
        <v>256</v>
      </c>
      <c r="E16" s="25" t="s">
        <v>257</v>
      </c>
      <c r="F16" s="25" t="s">
        <v>258</v>
      </c>
      <c r="G16" s="25" t="s">
        <v>259</v>
      </c>
    </row>
    <row r="18" spans="2:7" ht="18" customHeight="1">
      <c r="B18" s="481" t="s">
        <v>260</v>
      </c>
      <c r="C18" s="481"/>
      <c r="D18" s="481"/>
      <c r="E18" s="481"/>
      <c r="F18" s="481"/>
    </row>
    <row r="19" spans="2:7" ht="19" customHeight="1">
      <c r="B19" s="481"/>
      <c r="C19" s="481"/>
      <c r="D19" s="481"/>
      <c r="E19" s="481"/>
      <c r="F19" s="481"/>
    </row>
    <row r="20" spans="2:7" ht="23">
      <c r="B20" s="486" t="s">
        <v>261</v>
      </c>
      <c r="C20" s="487"/>
      <c r="D20" s="487"/>
      <c r="E20" s="487"/>
      <c r="F20" s="487"/>
      <c r="G20" s="488"/>
    </row>
    <row r="21" spans="2:7" ht="18" customHeight="1">
      <c r="B21" s="26" t="s">
        <v>262</v>
      </c>
      <c r="C21" s="489" t="s">
        <v>263</v>
      </c>
      <c r="D21" s="489"/>
      <c r="E21" s="489"/>
      <c r="F21" s="489"/>
      <c r="G21" s="490"/>
    </row>
    <row r="22" spans="2:7" ht="18" customHeight="1">
      <c r="B22" s="26" t="s">
        <v>264</v>
      </c>
      <c r="C22" s="491" t="s">
        <v>265</v>
      </c>
      <c r="D22" s="491"/>
      <c r="E22" s="491"/>
      <c r="F22" s="491"/>
      <c r="G22" s="492"/>
    </row>
    <row r="23" spans="2:7" ht="18" customHeight="1">
      <c r="B23" s="485" t="s">
        <v>266</v>
      </c>
      <c r="C23" s="29" t="s">
        <v>267</v>
      </c>
      <c r="D23" s="489" t="s">
        <v>268</v>
      </c>
      <c r="E23" s="489"/>
      <c r="F23" s="489"/>
      <c r="G23" s="490"/>
    </row>
    <row r="24" spans="2:7" ht="18">
      <c r="B24" s="485"/>
      <c r="C24" s="28" t="s">
        <v>269</v>
      </c>
      <c r="D24" s="489"/>
      <c r="E24" s="489"/>
      <c r="F24" s="489"/>
      <c r="G24" s="490"/>
    </row>
    <row r="25" spans="2:7" ht="18" customHeight="1">
      <c r="B25" s="485" t="s">
        <v>270</v>
      </c>
      <c r="C25" s="29" t="s">
        <v>267</v>
      </c>
      <c r="D25" s="489" t="s">
        <v>271</v>
      </c>
      <c r="E25" s="489"/>
      <c r="F25" s="489"/>
      <c r="G25" s="490"/>
    </row>
    <row r="26" spans="2:7" ht="18" customHeight="1">
      <c r="B26" s="485"/>
      <c r="C26" s="28" t="s">
        <v>269</v>
      </c>
      <c r="D26" s="489" t="s">
        <v>272</v>
      </c>
      <c r="E26" s="489"/>
      <c r="F26" s="489"/>
      <c r="G26" s="490"/>
    </row>
    <row r="27" spans="2:7" ht="18" customHeight="1">
      <c r="B27" s="496"/>
      <c r="C27" s="28" t="s">
        <v>273</v>
      </c>
      <c r="D27" s="489" t="s">
        <v>274</v>
      </c>
      <c r="E27" s="489"/>
      <c r="F27" s="489"/>
      <c r="G27" s="490"/>
    </row>
    <row r="28" spans="2:7" ht="18">
      <c r="B28" s="496"/>
      <c r="C28" s="28"/>
      <c r="D28" s="489"/>
      <c r="E28" s="489"/>
      <c r="F28" s="489"/>
      <c r="G28" s="490"/>
    </row>
    <row r="29" spans="2:7" ht="18">
      <c r="B29" s="496"/>
      <c r="C29" s="28"/>
      <c r="D29" s="489"/>
      <c r="E29" s="489"/>
      <c r="F29" s="489"/>
      <c r="G29" s="490"/>
    </row>
    <row r="30" spans="2:7" ht="18">
      <c r="B30" s="485"/>
      <c r="C30" s="28"/>
      <c r="D30" s="489"/>
      <c r="E30" s="489"/>
      <c r="F30" s="489"/>
      <c r="G30" s="490"/>
    </row>
    <row r="31" spans="2:7" ht="18">
      <c r="B31" s="496"/>
      <c r="C31" s="28"/>
      <c r="D31" s="489"/>
      <c r="E31" s="489"/>
      <c r="F31" s="489"/>
      <c r="G31" s="490"/>
    </row>
    <row r="32" spans="2:7" ht="18">
      <c r="B32" s="26" t="s">
        <v>275</v>
      </c>
      <c r="C32" s="494"/>
      <c r="D32" s="494"/>
      <c r="E32" s="494"/>
      <c r="F32" s="494"/>
      <c r="G32" s="495"/>
    </row>
    <row r="33" spans="2:7" ht="149" customHeight="1">
      <c r="B33" s="30"/>
      <c r="C33" s="494"/>
      <c r="D33" s="494"/>
      <c r="E33" s="494"/>
      <c r="F33" s="494"/>
      <c r="G33" s="495"/>
    </row>
    <row r="34" spans="2:7" ht="58" customHeight="1">
      <c r="B34" s="26" t="s">
        <v>276</v>
      </c>
      <c r="C34" s="29" t="s">
        <v>277</v>
      </c>
      <c r="D34" s="29" t="s">
        <v>278</v>
      </c>
      <c r="E34" s="31"/>
      <c r="F34" s="494"/>
      <c r="G34" s="495"/>
    </row>
    <row r="35" spans="2:7" ht="38">
      <c r="B35" s="32" t="s">
        <v>279</v>
      </c>
      <c r="C35" s="33" t="s">
        <v>280</v>
      </c>
      <c r="D35" s="27" t="s">
        <v>269</v>
      </c>
      <c r="E35" s="34" t="s">
        <v>281</v>
      </c>
      <c r="F35" s="499"/>
      <c r="G35" s="500"/>
    </row>
    <row r="36" spans="2:7" ht="51">
      <c r="B36" s="32" t="s">
        <v>282</v>
      </c>
      <c r="C36" s="33" t="s">
        <v>283</v>
      </c>
      <c r="D36" s="27" t="s">
        <v>273</v>
      </c>
      <c r="E36" s="34" t="s">
        <v>284</v>
      </c>
      <c r="F36" s="499"/>
      <c r="G36" s="500"/>
    </row>
    <row r="37" spans="2:7" ht="34">
      <c r="B37" s="32" t="s">
        <v>285</v>
      </c>
      <c r="C37" s="33" t="s">
        <v>286</v>
      </c>
      <c r="D37" s="27" t="s">
        <v>269</v>
      </c>
      <c r="E37" s="34" t="s">
        <v>287</v>
      </c>
      <c r="F37" s="501"/>
      <c r="G37" s="502"/>
    </row>
    <row r="38" spans="2:7" ht="38">
      <c r="B38" s="32" t="s">
        <v>288</v>
      </c>
      <c r="C38" s="33" t="s">
        <v>289</v>
      </c>
      <c r="D38" s="28" t="s">
        <v>269</v>
      </c>
      <c r="E38" s="27" t="s">
        <v>290</v>
      </c>
      <c r="F38" s="494"/>
      <c r="G38" s="495"/>
    </row>
    <row r="39" spans="2:7" ht="38">
      <c r="B39" s="32" t="s">
        <v>291</v>
      </c>
      <c r="C39" s="35" t="s">
        <v>292</v>
      </c>
      <c r="D39" s="28" t="s">
        <v>269</v>
      </c>
      <c r="E39" s="27" t="s">
        <v>293</v>
      </c>
      <c r="F39" s="494"/>
      <c r="G39" s="495"/>
    </row>
    <row r="40" spans="2:7" ht="19">
      <c r="B40" s="32" t="s">
        <v>294</v>
      </c>
      <c r="C40" s="35"/>
      <c r="D40" s="28"/>
      <c r="E40" s="28"/>
      <c r="F40" s="494"/>
      <c r="G40" s="495"/>
    </row>
    <row r="41" spans="2:7" ht="19">
      <c r="B41" s="36" t="s">
        <v>295</v>
      </c>
      <c r="C41" s="35"/>
      <c r="D41" s="28"/>
      <c r="E41" s="28"/>
      <c r="F41" s="494"/>
      <c r="G41" s="495"/>
    </row>
    <row r="42" spans="2:7" ht="38">
      <c r="B42" s="32" t="s">
        <v>296</v>
      </c>
      <c r="C42" s="494"/>
      <c r="D42" s="494"/>
      <c r="E42" s="494"/>
      <c r="F42" s="494"/>
      <c r="G42" s="495"/>
    </row>
    <row r="43" spans="2:7" ht="18">
      <c r="B43" s="37" t="s">
        <v>297</v>
      </c>
      <c r="C43" s="497"/>
      <c r="D43" s="497"/>
      <c r="E43" s="497"/>
      <c r="F43" s="497"/>
      <c r="G43" s="498"/>
    </row>
  </sheetData>
  <mergeCells count="35">
    <mergeCell ref="C42:G42"/>
    <mergeCell ref="C43:G43"/>
    <mergeCell ref="F34:G34"/>
    <mergeCell ref="F35:G35"/>
    <mergeCell ref="F36:G36"/>
    <mergeCell ref="F37:G37"/>
    <mergeCell ref="F38:G38"/>
    <mergeCell ref="B1:F2"/>
    <mergeCell ref="B4:F5"/>
    <mergeCell ref="F39:G39"/>
    <mergeCell ref="F40:G40"/>
    <mergeCell ref="F41:G41"/>
    <mergeCell ref="C32:G32"/>
    <mergeCell ref="C33:G33"/>
    <mergeCell ref="D24:G24"/>
    <mergeCell ref="D25:G25"/>
    <mergeCell ref="D26:G26"/>
    <mergeCell ref="D27:G27"/>
    <mergeCell ref="D28:G28"/>
    <mergeCell ref="B25:B31"/>
    <mergeCell ref="D29:G29"/>
    <mergeCell ref="D30:G30"/>
    <mergeCell ref="D31:G31"/>
    <mergeCell ref="B12:G13"/>
    <mergeCell ref="B18:F19"/>
    <mergeCell ref="D6:F6"/>
    <mergeCell ref="B15:B16"/>
    <mergeCell ref="B23:B24"/>
    <mergeCell ref="B6:B7"/>
    <mergeCell ref="B8:B10"/>
    <mergeCell ref="C6:C7"/>
    <mergeCell ref="B20:G20"/>
    <mergeCell ref="C21:G21"/>
    <mergeCell ref="C22:G22"/>
    <mergeCell ref="D23:G23"/>
  </mergeCells>
  <phoneticPr fontId="80" type="noConversion"/>
  <pageMargins left="0.7" right="0.7" top="0.75" bottom="0.75" header="0.3" footer="0.3"/>
  <pageSetup paperSize="9"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0"/>
    <pageSetUpPr fitToPage="1"/>
  </sheetPr>
  <dimension ref="B1:L24"/>
  <sheetViews>
    <sheetView workbookViewId="0">
      <pane ySplit="3" topLeftCell="A4" activePane="bottomLeft" state="frozen"/>
      <selection pane="bottomLeft" activeCell="C18" sqref="C18"/>
    </sheetView>
  </sheetViews>
  <sheetFormatPr baseColWidth="10" defaultColWidth="14.5" defaultRowHeight="88" customHeight="1"/>
  <cols>
    <col min="1" max="1" width="5.83203125" style="2" customWidth="1"/>
    <col min="2" max="2" width="21.83203125" style="2" customWidth="1"/>
    <col min="3" max="3" width="14.5" style="2"/>
    <col min="4" max="4" width="23.6640625" style="2" customWidth="1"/>
    <col min="5" max="8" width="26.33203125" style="2" customWidth="1"/>
    <col min="9" max="9" width="41" style="3" customWidth="1"/>
    <col min="10" max="10" width="19.1640625" style="3" customWidth="1"/>
    <col min="11" max="11" width="16.33203125" style="3" customWidth="1"/>
    <col min="12" max="12" width="14.5" style="3"/>
    <col min="13" max="16384" width="14.5" style="2"/>
  </cols>
  <sheetData>
    <row r="1" spans="2:12" s="1" customFormat="1" ht="42" customHeight="1">
      <c r="I1" s="4"/>
      <c r="J1" s="4"/>
      <c r="K1" s="4"/>
      <c r="L1" s="4"/>
    </row>
    <row r="2" spans="2:12" ht="41" customHeight="1">
      <c r="B2" s="5" t="s">
        <v>77</v>
      </c>
      <c r="C2" s="5" t="s">
        <v>298</v>
      </c>
      <c r="D2" s="6" t="s">
        <v>371</v>
      </c>
      <c r="E2" s="6" t="s">
        <v>299</v>
      </c>
      <c r="F2" s="6" t="s">
        <v>300</v>
      </c>
      <c r="G2" s="6" t="s">
        <v>301</v>
      </c>
      <c r="H2" s="6" t="s">
        <v>302</v>
      </c>
      <c r="I2" s="7" t="s">
        <v>303</v>
      </c>
      <c r="J2" s="7" t="s">
        <v>304</v>
      </c>
      <c r="K2" s="7" t="s">
        <v>221</v>
      </c>
      <c r="L2" s="7" t="s">
        <v>305</v>
      </c>
    </row>
    <row r="3" spans="2:12" ht="41" customHeight="1">
      <c r="B3" s="10" t="s">
        <v>9</v>
      </c>
      <c r="C3" s="8" t="s">
        <v>308</v>
      </c>
      <c r="D3" s="8" t="s">
        <v>349</v>
      </c>
      <c r="E3" s="8" t="s">
        <v>352</v>
      </c>
      <c r="F3" s="8" t="s">
        <v>349</v>
      </c>
      <c r="G3" s="8" t="s">
        <v>350</v>
      </c>
      <c r="H3" s="8" t="s">
        <v>351</v>
      </c>
      <c r="I3" s="9" t="s">
        <v>316</v>
      </c>
      <c r="J3" s="9" t="s">
        <v>310</v>
      </c>
      <c r="K3" s="9" t="s">
        <v>223</v>
      </c>
      <c r="L3" s="9">
        <v>6</v>
      </c>
    </row>
    <row r="4" spans="2:12" ht="41" customHeight="1">
      <c r="B4" s="10" t="s">
        <v>9</v>
      </c>
      <c r="C4" s="8" t="s">
        <v>372</v>
      </c>
      <c r="D4" s="8" t="s">
        <v>349</v>
      </c>
      <c r="E4" s="8" t="s">
        <v>352</v>
      </c>
      <c r="F4" s="8" t="s">
        <v>349</v>
      </c>
      <c r="G4" s="8" t="s">
        <v>350</v>
      </c>
      <c r="H4" s="8" t="s">
        <v>351</v>
      </c>
      <c r="I4" s="9" t="s">
        <v>374</v>
      </c>
      <c r="J4" s="9" t="s">
        <v>310</v>
      </c>
      <c r="K4" s="9" t="s">
        <v>223</v>
      </c>
      <c r="L4" s="9">
        <v>6</v>
      </c>
    </row>
    <row r="5" spans="2:12" ht="41" customHeight="1">
      <c r="B5" s="10" t="s">
        <v>9</v>
      </c>
      <c r="C5" s="8" t="s">
        <v>309</v>
      </c>
      <c r="D5" s="8" t="s">
        <v>349</v>
      </c>
      <c r="E5" s="8" t="s">
        <v>352</v>
      </c>
      <c r="F5" s="8" t="s">
        <v>349</v>
      </c>
      <c r="G5" s="8" t="s">
        <v>350</v>
      </c>
      <c r="H5" s="8" t="s">
        <v>351</v>
      </c>
      <c r="I5" s="9" t="s">
        <v>316</v>
      </c>
      <c r="J5" s="9" t="s">
        <v>315</v>
      </c>
      <c r="K5" s="9" t="s">
        <v>223</v>
      </c>
      <c r="L5" s="9">
        <v>6</v>
      </c>
    </row>
    <row r="6" spans="2:12" ht="41" customHeight="1">
      <c r="B6" s="10" t="s">
        <v>9</v>
      </c>
      <c r="C6" s="8" t="s">
        <v>373</v>
      </c>
      <c r="D6" s="8" t="s">
        <v>349</v>
      </c>
      <c r="E6" s="8" t="s">
        <v>352</v>
      </c>
      <c r="F6" s="8" t="s">
        <v>349</v>
      </c>
      <c r="G6" s="8" t="s">
        <v>350</v>
      </c>
      <c r="H6" s="8" t="s">
        <v>351</v>
      </c>
      <c r="I6" s="9" t="s">
        <v>374</v>
      </c>
      <c r="J6" s="9" t="s">
        <v>315</v>
      </c>
      <c r="K6" s="9" t="s">
        <v>223</v>
      </c>
      <c r="L6" s="9">
        <v>6</v>
      </c>
    </row>
    <row r="7" spans="2:12" ht="41" customHeight="1">
      <c r="B7" s="10" t="s">
        <v>9</v>
      </c>
      <c r="C7" s="8" t="s">
        <v>317</v>
      </c>
      <c r="D7" s="8" t="s">
        <v>349</v>
      </c>
      <c r="E7" s="8" t="s">
        <v>352</v>
      </c>
      <c r="F7" s="8" t="s">
        <v>349</v>
      </c>
      <c r="G7" s="8" t="s">
        <v>350</v>
      </c>
      <c r="H7" s="8" t="s">
        <v>351</v>
      </c>
      <c r="I7" s="9" t="s">
        <v>318</v>
      </c>
      <c r="J7" s="9" t="s">
        <v>310</v>
      </c>
      <c r="K7" s="9" t="s">
        <v>223</v>
      </c>
      <c r="L7" s="9">
        <v>6</v>
      </c>
    </row>
    <row r="8" spans="2:12" ht="41" customHeight="1">
      <c r="B8" s="10" t="s">
        <v>9</v>
      </c>
      <c r="C8" s="8" t="s">
        <v>222</v>
      </c>
      <c r="D8" s="8" t="s">
        <v>349</v>
      </c>
      <c r="E8" s="8" t="s">
        <v>352</v>
      </c>
      <c r="F8" s="8" t="s">
        <v>349</v>
      </c>
      <c r="G8" s="8" t="s">
        <v>350</v>
      </c>
      <c r="H8" s="8" t="s">
        <v>351</v>
      </c>
      <c r="I8" s="9" t="s">
        <v>319</v>
      </c>
      <c r="J8" s="9" t="s">
        <v>310</v>
      </c>
      <c r="K8" s="9" t="s">
        <v>223</v>
      </c>
      <c r="L8" s="9">
        <v>6</v>
      </c>
    </row>
    <row r="9" spans="2:12" ht="41" customHeight="1">
      <c r="B9" s="10" t="s">
        <v>9</v>
      </c>
      <c r="C9" s="8" t="s">
        <v>320</v>
      </c>
      <c r="D9" s="8" t="s">
        <v>349</v>
      </c>
      <c r="E9" s="8" t="s">
        <v>352</v>
      </c>
      <c r="F9" s="8" t="s">
        <v>349</v>
      </c>
      <c r="G9" s="8" t="s">
        <v>350</v>
      </c>
      <c r="H9" s="8" t="s">
        <v>351</v>
      </c>
      <c r="I9" s="9" t="s">
        <v>321</v>
      </c>
      <c r="J9" s="9" t="s">
        <v>310</v>
      </c>
      <c r="K9" s="9" t="s">
        <v>223</v>
      </c>
      <c r="L9" s="9">
        <v>6</v>
      </c>
    </row>
    <row r="10" spans="2:12" ht="41" customHeight="1">
      <c r="B10" s="10" t="s">
        <v>9</v>
      </c>
      <c r="C10" s="8" t="s">
        <v>225</v>
      </c>
      <c r="D10" s="8" t="s">
        <v>349</v>
      </c>
      <c r="E10" s="8" t="s">
        <v>352</v>
      </c>
      <c r="F10" s="8" t="s">
        <v>349</v>
      </c>
      <c r="G10" s="8" t="s">
        <v>350</v>
      </c>
      <c r="H10" s="8" t="s">
        <v>351</v>
      </c>
      <c r="I10" s="9" t="s">
        <v>322</v>
      </c>
      <c r="J10" s="9" t="s">
        <v>310</v>
      </c>
      <c r="K10" s="9" t="s">
        <v>223</v>
      </c>
      <c r="L10" s="9">
        <v>6</v>
      </c>
    </row>
    <row r="11" spans="2:12" ht="41" customHeight="1">
      <c r="B11" s="10" t="s">
        <v>9</v>
      </c>
      <c r="C11" s="8" t="s">
        <v>323</v>
      </c>
      <c r="D11" s="8" t="s">
        <v>349</v>
      </c>
      <c r="E11" s="8" t="s">
        <v>352</v>
      </c>
      <c r="F11" s="8" t="s">
        <v>349</v>
      </c>
      <c r="G11" s="8" t="s">
        <v>350</v>
      </c>
      <c r="H11" s="8" t="s">
        <v>351</v>
      </c>
      <c r="I11" s="9" t="s">
        <v>324</v>
      </c>
      <c r="J11" s="9" t="s">
        <v>310</v>
      </c>
      <c r="K11" s="9" t="s">
        <v>223</v>
      </c>
      <c r="L11" s="9">
        <v>6</v>
      </c>
    </row>
    <row r="12" spans="2:12" ht="41" customHeight="1">
      <c r="B12" s="10" t="s">
        <v>9</v>
      </c>
      <c r="C12" s="8" t="s">
        <v>224</v>
      </c>
      <c r="D12" s="8" t="s">
        <v>349</v>
      </c>
      <c r="E12" s="8" t="s">
        <v>352</v>
      </c>
      <c r="F12" s="8" t="s">
        <v>349</v>
      </c>
      <c r="G12" s="8" t="s">
        <v>350</v>
      </c>
      <c r="H12" s="8" t="s">
        <v>351</v>
      </c>
      <c r="I12" s="9" t="s">
        <v>325</v>
      </c>
      <c r="J12" s="9" t="s">
        <v>310</v>
      </c>
      <c r="K12" s="9" t="s">
        <v>223</v>
      </c>
      <c r="L12" s="9">
        <v>6</v>
      </c>
    </row>
    <row r="13" spans="2:12" ht="41" customHeight="1">
      <c r="B13" s="10" t="s">
        <v>9</v>
      </c>
      <c r="C13" s="8" t="s">
        <v>306</v>
      </c>
      <c r="D13" s="8" t="s">
        <v>349</v>
      </c>
      <c r="E13" s="8" t="s">
        <v>352</v>
      </c>
      <c r="F13" s="8" t="s">
        <v>349</v>
      </c>
      <c r="G13" s="8" t="s">
        <v>350</v>
      </c>
      <c r="H13" s="8" t="s">
        <v>351</v>
      </c>
      <c r="I13" s="9" t="s">
        <v>311</v>
      </c>
      <c r="J13" s="9" t="s">
        <v>313</v>
      </c>
      <c r="K13" s="9" t="s">
        <v>223</v>
      </c>
      <c r="L13" s="9">
        <v>6</v>
      </c>
    </row>
    <row r="14" spans="2:12" ht="41" customHeight="1">
      <c r="B14" s="10" t="s">
        <v>9</v>
      </c>
      <c r="C14" s="8" t="s">
        <v>307</v>
      </c>
      <c r="D14" s="8" t="s">
        <v>349</v>
      </c>
      <c r="E14" s="8" t="s">
        <v>352</v>
      </c>
      <c r="F14" s="8" t="s">
        <v>349</v>
      </c>
      <c r="G14" s="8" t="s">
        <v>350</v>
      </c>
      <c r="H14" s="8" t="s">
        <v>351</v>
      </c>
      <c r="I14" s="9" t="s">
        <v>312</v>
      </c>
      <c r="J14" s="9" t="s">
        <v>314</v>
      </c>
      <c r="K14" s="9" t="s">
        <v>223</v>
      </c>
      <c r="L14" s="9">
        <v>6</v>
      </c>
    </row>
    <row r="15" spans="2:12" ht="41" customHeight="1">
      <c r="B15" s="10"/>
      <c r="C15" s="8"/>
      <c r="D15" s="8"/>
      <c r="E15" s="8"/>
      <c r="F15" s="8"/>
      <c r="G15" s="8"/>
      <c r="H15" s="8"/>
      <c r="I15" s="9"/>
      <c r="J15" s="9"/>
      <c r="K15" s="9"/>
      <c r="L15" s="9"/>
    </row>
    <row r="16" spans="2:12" ht="41" customHeight="1">
      <c r="B16" s="10"/>
      <c r="C16" s="8"/>
      <c r="D16" s="8"/>
      <c r="E16" s="8"/>
      <c r="F16" s="8"/>
      <c r="G16" s="8"/>
      <c r="H16" s="8"/>
      <c r="I16" s="9"/>
      <c r="J16" s="9"/>
      <c r="K16" s="9"/>
      <c r="L16" s="9"/>
    </row>
    <row r="17" spans="2:12" ht="41" customHeight="1">
      <c r="B17" s="10"/>
      <c r="C17" s="8"/>
      <c r="D17" s="8"/>
      <c r="E17" s="8"/>
      <c r="F17" s="8"/>
      <c r="G17" s="8"/>
      <c r="H17" s="8"/>
      <c r="I17" s="9"/>
      <c r="J17" s="9"/>
      <c r="K17" s="9"/>
      <c r="L17" s="9"/>
    </row>
    <row r="18" spans="2:12" ht="41" customHeight="1">
      <c r="B18" s="10"/>
      <c r="C18" s="8"/>
      <c r="D18" s="8"/>
      <c r="E18" s="8"/>
      <c r="F18" s="8"/>
      <c r="G18" s="8"/>
      <c r="H18" s="8"/>
      <c r="I18" s="9"/>
      <c r="J18" s="9"/>
      <c r="K18" s="9"/>
      <c r="L18" s="9"/>
    </row>
    <row r="19" spans="2:12" ht="41" customHeight="1">
      <c r="B19" s="10"/>
      <c r="C19" s="8"/>
      <c r="D19" s="8"/>
      <c r="E19" s="8"/>
      <c r="F19" s="8"/>
      <c r="G19" s="8"/>
      <c r="H19" s="8"/>
      <c r="I19" s="9"/>
      <c r="J19" s="9"/>
      <c r="K19" s="9"/>
      <c r="L19" s="9"/>
    </row>
    <row r="20" spans="2:12" ht="41" customHeight="1">
      <c r="B20" s="10"/>
      <c r="C20" s="8"/>
      <c r="D20" s="8"/>
      <c r="E20" s="8"/>
      <c r="F20" s="8"/>
      <c r="G20" s="8"/>
      <c r="H20" s="8"/>
      <c r="I20" s="9"/>
      <c r="J20" s="9"/>
      <c r="K20" s="9"/>
      <c r="L20" s="9"/>
    </row>
    <row r="21" spans="2:12" ht="41" customHeight="1">
      <c r="B21" s="10"/>
      <c r="C21" s="8"/>
      <c r="D21" s="8"/>
      <c r="E21" s="8"/>
      <c r="F21" s="8"/>
      <c r="G21" s="8"/>
      <c r="H21" s="8"/>
      <c r="I21" s="9"/>
      <c r="J21" s="9"/>
      <c r="K21" s="9"/>
      <c r="L21" s="9"/>
    </row>
    <row r="22" spans="2:12" ht="41" customHeight="1">
      <c r="B22" s="10"/>
      <c r="C22" s="8"/>
      <c r="D22" s="8"/>
      <c r="E22" s="8"/>
      <c r="F22" s="8"/>
      <c r="G22" s="8"/>
      <c r="H22" s="8"/>
      <c r="I22" s="9"/>
      <c r="J22" s="9"/>
      <c r="K22" s="9"/>
      <c r="L22" s="9"/>
    </row>
    <row r="23" spans="2:12" ht="41" customHeight="1">
      <c r="B23" s="10"/>
      <c r="C23" s="8"/>
      <c r="D23" s="8"/>
      <c r="E23" s="8"/>
      <c r="F23" s="8"/>
      <c r="G23" s="8"/>
      <c r="H23" s="8"/>
      <c r="I23" s="9"/>
      <c r="J23" s="9"/>
      <c r="K23" s="9"/>
      <c r="L23" s="9"/>
    </row>
    <row r="24" spans="2:12" ht="41" customHeight="1">
      <c r="B24" s="10"/>
      <c r="C24" s="8"/>
      <c r="D24" s="8"/>
      <c r="E24" s="8"/>
      <c r="F24" s="8"/>
      <c r="G24" s="8"/>
      <c r="H24" s="8"/>
      <c r="I24" s="9"/>
      <c r="J24" s="9"/>
      <c r="K24" s="9"/>
      <c r="L24" s="9"/>
    </row>
  </sheetData>
  <autoFilter ref="B2:L2" xr:uid="{00000000-0001-0000-1800-000000000000}"/>
  <phoneticPr fontId="80" type="noConversion"/>
  <pageMargins left="0.25" right="0.25" top="0.75" bottom="0.75" header="0.3" footer="0.3"/>
  <pageSetup paperSize="9" scale="17"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15</vt:i4>
      </vt:variant>
    </vt:vector>
  </HeadingPairs>
  <TitlesOfParts>
    <vt:vector size="15" baseType="lpstr">
      <vt:lpstr>产品组-组织架构 </vt:lpstr>
      <vt:lpstr>成熟度方案</vt:lpstr>
      <vt:lpstr>编制管控</vt:lpstr>
      <vt:lpstr>岗位说明书</vt:lpstr>
      <vt:lpstr>产品组 大区总监 - 薪资方案</vt:lpstr>
      <vt:lpstr>产品组 省区总监 - 薪资方案</vt:lpstr>
      <vt:lpstr>产品组 区域总监 - 薪资方案</vt:lpstr>
      <vt:lpstr>产品组 区域经理 - 薪资方案</vt:lpstr>
      <vt:lpstr>产品组 客户主任-薪资方案</vt:lpstr>
      <vt:lpstr>系统调整绩效扣罚</vt:lpstr>
      <vt:lpstr>货需管控扣罚规则</vt:lpstr>
      <vt:lpstr>回调率扣罚规则</vt:lpstr>
      <vt:lpstr>组别异动规则</vt:lpstr>
      <vt:lpstr>线下窜货、线上售卖扣罚标准</vt:lpstr>
      <vt:lpstr>儿童乳品组提成系数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张远</cp:lastModifiedBy>
  <dcterms:created xsi:type="dcterms:W3CDTF">2025-09-11T03:35:00Z</dcterms:created>
  <dcterms:modified xsi:type="dcterms:W3CDTF">2026-10-22T05:40:42Z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FE2CCC42A204417387AFEE2984B954EE_13</vt:lpwstr>
  </property>
  <property fmtid="{D5CDD505-2E9C-101B-9397-08002B2CF9AE}" pid="3" name="KSOProductBuildVer">
    <vt:lpwstr>2052-12.1.0.26895</vt:lpwstr>
  </property>
  <property fmtid="{D5CDD505-2E9C-101B-9397-08002B2CF9AE}" pid="4" name="CalculationRule">
    <vt:i4>0</vt:i4>
  </property>
</Properties>
</file>